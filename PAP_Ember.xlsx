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4992E6B9-B42A-421F-8E00-258DE63001E3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Material" sheetId="1" r:id="rId1"/>
    <sheet name="Planeament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3" i="1" l="1"/>
  <c r="Q19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Q23" i="1"/>
  <c r="K23" i="1"/>
  <c r="Z22" i="1"/>
  <c r="Z21" i="1"/>
  <c r="Z20" i="1"/>
  <c r="Z19" i="1"/>
  <c r="L19" i="1" a="1"/>
  <c r="L19" i="1" s="1"/>
  <c r="K19" i="1"/>
  <c r="Z18" i="1"/>
  <c r="Z17" i="1"/>
  <c r="Z16" i="1"/>
  <c r="Z15" i="1"/>
  <c r="Q15" i="1"/>
  <c r="L15" i="1" a="1"/>
  <c r="L15" i="1" s="1"/>
  <c r="K15" i="1"/>
  <c r="Z14" i="1"/>
  <c r="Z13" i="1"/>
  <c r="Z12" i="1"/>
  <c r="Z11" i="1"/>
  <c r="Q11" i="1"/>
  <c r="L11" i="1" a="1"/>
  <c r="L11" i="1" s="1"/>
  <c r="K11" i="1"/>
  <c r="Z10" i="1"/>
  <c r="Z9" i="1"/>
  <c r="Z8" i="1"/>
  <c r="Z7" i="1"/>
  <c r="Q7" i="1"/>
  <c r="L7" i="1" a="1"/>
  <c r="L7" i="1" s="1"/>
  <c r="K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<sst xmlns="http://schemas.openxmlformats.org/spreadsheetml/2006/main" count="237" uniqueCount="133">
  <si>
    <t>DRONE</t>
  </si>
  <si>
    <t>CONTAS</t>
  </si>
  <si>
    <t>NOME</t>
  </si>
  <si>
    <t>MODELO/REF</t>
  </si>
  <si>
    <t>QNT P/ EQUIP.</t>
  </si>
  <si>
    <t>PREÇO</t>
  </si>
  <si>
    <t>COMPRADO P.</t>
  </si>
  <si>
    <t>LOJA / LUGAR</t>
  </si>
  <si>
    <t>Microcontrolador</t>
  </si>
  <si>
    <t>ESP32-S3 WROOM-1</t>
  </si>
  <si>
    <t>TIAGO</t>
  </si>
  <si>
    <t>Mauser</t>
  </si>
  <si>
    <t>Câmara Térmica</t>
  </si>
  <si>
    <t>55º MLX90640</t>
  </si>
  <si>
    <t>OUTRO</t>
  </si>
  <si>
    <t>Digikey</t>
  </si>
  <si>
    <t>QNT EQUIP.</t>
  </si>
  <si>
    <t>FREQ. LOJA / LUGAR</t>
  </si>
  <si>
    <t>TOTAL</t>
  </si>
  <si>
    <t>Sensor de Gás</t>
  </si>
  <si>
    <t>MQ-7</t>
  </si>
  <si>
    <t>Sensor de Chama</t>
  </si>
  <si>
    <t>YG1006</t>
  </si>
  <si>
    <t>Tranceptores</t>
  </si>
  <si>
    <t>Whadda WPI322</t>
  </si>
  <si>
    <t>COMANDO</t>
  </si>
  <si>
    <t>ESC</t>
  </si>
  <si>
    <t>20A</t>
  </si>
  <si>
    <t>HobbyKing</t>
  </si>
  <si>
    <t>Motor sem Escovas</t>
  </si>
  <si>
    <t>A2212 1000KV</t>
  </si>
  <si>
    <t>Amazon</t>
  </si>
  <si>
    <t>Bateria</t>
  </si>
  <si>
    <t>LiPo 2200MAH 11.1V (3S) 130C</t>
  </si>
  <si>
    <t>Breadboard</t>
  </si>
  <si>
    <t>Qualquer, Grande</t>
  </si>
  <si>
    <t>DRONE + COMANDO</t>
  </si>
  <si>
    <t>Estrutura</t>
  </si>
  <si>
    <t>F450 Quadcopter</t>
  </si>
  <si>
    <t>Conector XT60</t>
  </si>
  <si>
    <t>Pacote M / F</t>
  </si>
  <si>
    <t>Condensador</t>
  </si>
  <si>
    <t>10UF 16V</t>
  </si>
  <si>
    <t>Casa</t>
  </si>
  <si>
    <t>DRONE + COMANDO + GERAL / OUTROS</t>
  </si>
  <si>
    <t>Ecrã</t>
  </si>
  <si>
    <t>LAFVIN TFT LCD 4.0"</t>
  </si>
  <si>
    <t>MATERIAL NÃO USADO</t>
  </si>
  <si>
    <t>Joystick</t>
  </si>
  <si>
    <t>KS0008</t>
  </si>
  <si>
    <t>Botão</t>
  </si>
  <si>
    <t>Genérico, Botão Tátil</t>
  </si>
  <si>
    <t>Escola</t>
  </si>
  <si>
    <t>LED</t>
  </si>
  <si>
    <t>Genérico, Vermelho e Amarelo</t>
  </si>
  <si>
    <t>Isto foi o que nós gastamos no projeto, não inclui o que obtemos gratuitamente.</t>
  </si>
  <si>
    <t>Buzzer</t>
  </si>
  <si>
    <t>Piezo Ativo</t>
  </si>
  <si>
    <t>Se tiveres a fazer plágio na tua PAP, espero que isto te assuste o suficiente.</t>
  </si>
  <si>
    <t>Transceptor</t>
  </si>
  <si>
    <t>Conversor Buck</t>
  </si>
  <si>
    <t>LM2596</t>
  </si>
  <si>
    <t>Isto não está a muitas das peças que nós queimamos/não usamos ou que ficaram extra, senão daria 721,36€.</t>
  </si>
  <si>
    <t>GERAL / OUTROS</t>
  </si>
  <si>
    <t>Carregador LiPo</t>
  </si>
  <si>
    <t>HAISITO HB6</t>
  </si>
  <si>
    <t>LiPo Buzzer</t>
  </si>
  <si>
    <t>YUNIQUE GREEN-CLEAN-POWER</t>
  </si>
  <si>
    <t>Parafusos</t>
  </si>
  <si>
    <t>Vários</t>
  </si>
  <si>
    <t>Leroy Merlin</t>
  </si>
  <si>
    <t>Pinos</t>
  </si>
  <si>
    <t>Conjunto 40 (F)</t>
  </si>
  <si>
    <t>Jumpers</t>
  </si>
  <si>
    <t>Conjunto (MM, MF, FF)</t>
  </si>
  <si>
    <t>AMBOS</t>
  </si>
  <si>
    <t>Várias</t>
  </si>
  <si>
    <t xml:space="preserve">Ácido </t>
  </si>
  <si>
    <t>Cloreto Férrico</t>
  </si>
  <si>
    <t>GONÇALO</t>
  </si>
  <si>
    <t>Curto Circuito</t>
  </si>
  <si>
    <t>Álcool</t>
  </si>
  <si>
    <t>Isopropílico</t>
  </si>
  <si>
    <t>Farmácia</t>
  </si>
  <si>
    <t>Chaves de Ferramentas</t>
  </si>
  <si>
    <t>Conjunto</t>
  </si>
  <si>
    <t>Lixa</t>
  </si>
  <si>
    <t>Água (Grau 200)</t>
  </si>
  <si>
    <t>Lata Spray Tinta</t>
  </si>
  <si>
    <t>Branca para PVC</t>
  </si>
  <si>
    <t>Impressora 3D</t>
  </si>
  <si>
    <t>Elegoo Neptune 4</t>
  </si>
  <si>
    <t>Filamento</t>
  </si>
  <si>
    <t>PLA 1.75MM 1KG (LARANJA)</t>
  </si>
  <si>
    <t>Velcro</t>
  </si>
  <si>
    <t>Adesivos de Dupla Face</t>
  </si>
  <si>
    <t>NÃO USADOS</t>
  </si>
  <si>
    <t>Placa PCB</t>
  </si>
  <si>
    <t>Dupla Camada, Tratamento UV</t>
  </si>
  <si>
    <t>Apesar de não termos usado no projeto final, está disponivel um circuito para placas de circuito impresso que servem para a placa referida acima,</t>
  </si>
  <si>
    <t>Funciona da mesma forma, com os mesmos pinos.</t>
  </si>
  <si>
    <t>Calendário (Expectativa)</t>
  </si>
  <si>
    <t>Timeline</t>
  </si>
  <si>
    <t>Calendário (Realidade)</t>
  </si>
  <si>
    <t>Etapas</t>
  </si>
  <si>
    <t>Tarefa</t>
  </si>
  <si>
    <t>Mês</t>
  </si>
  <si>
    <t>Planeamento de Ideias</t>
  </si>
  <si>
    <t>Passado</t>
  </si>
  <si>
    <t>Fazer Checklist dos Materiais
Pesquisa do Trabalho</t>
  </si>
  <si>
    <t>Encomendar Materiais
Fazer Relatório/Apresentação da Pre-PAP
Verificar Compatibilidade dos Materiais</t>
  </si>
  <si>
    <t>Presente</t>
  </si>
  <si>
    <t>Encomendar Materiais
Fazer Apresentação da Pre-PAP
Verificar Compatibilidade dos Materiais</t>
  </si>
  <si>
    <t>Testar Materiais
Encomendar Materiais Restantes
Estudo em Programação C++</t>
  </si>
  <si>
    <t>Futuro</t>
  </si>
  <si>
    <t>Iniciar as Montagens (Protótipo)
Estudo em Programação C++</t>
  </si>
  <si>
    <t>Testar Materiais
Estudo em Programação C++</t>
  </si>
  <si>
    <t>Iniciar a Montagem
Estudo em Programação C++</t>
  </si>
  <si>
    <t>Montagem</t>
  </si>
  <si>
    <t>Montagem do Protótipo
Design da Placa PCB</t>
  </si>
  <si>
    <t>Montagem
Realização de um Show do Drone
Fazer o Relatório/Apresentação Final</t>
  </si>
  <si>
    <t>Montagem do Protótipo
Modelagem em Blender e Design PCB</t>
  </si>
  <si>
    <t>Fazer a Pré-Apresentação Final
Treinar Apresentação
Modelagem em Blender e Design PCB</t>
  </si>
  <si>
    <t>Fazer o Relatório/Apresentação Final
Treinar Apresentação</t>
  </si>
  <si>
    <t>Treinar Apresentação</t>
  </si>
  <si>
    <t>Terminar o Trabalho</t>
  </si>
  <si>
    <t>CALENDÁRIO FEITO EM NOVEMBRO DE 2025</t>
  </si>
  <si>
    <t>CALENDÁRIO FEITO EM ABRIL DE 2026</t>
  </si>
  <si>
    <t>Isto foi o nosso planeamento de como iria decorrer o nosso projeto, com uma expectativa vs realidade.</t>
  </si>
  <si>
    <t>Se tiveres a recriar este projeto, podes ignorar esta sheet.</t>
  </si>
  <si>
    <t>Nota:</t>
  </si>
  <si>
    <t>O motor do drone pode não ser fluido o suficiente para voar com força o suficiente, se quiseres podes dar upgrade para um motor A2216 com ESC's de 40A.</t>
  </si>
  <si>
    <t>Se fores fazer este upgrade, muda os valores de throttle no código principal da parte do drone.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</si>
</sst>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\ * #,##0.00_);_([$€-2]\ * \(#,##0.00\);_([$€-2]\ * \-??_);_(@_)"/>
    <numFmt numFmtId="165" formatCode="_(\$* #,##0.00_);_(\$* \(#,##0.00\);_(\$* \-??_);_(@_)"/>
    <numFmt numFmtId="166" formatCode="m/yyyy;@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8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4B0000"/>
        <bgColor rgb="FF660066"/>
      </patternFill>
    </fill>
  </fills>
  <borders count="31">
    <border>
      <left/>
      <right/>
      <top/>
      <bottom/>
      <diagonal/>
    </border>
    <border>
      <left style="medium">
        <color rgb="FF4B0000"/>
      </left>
      <right/>
      <top style="medium">
        <color rgb="FF4B0000"/>
      </top>
      <bottom style="thin">
        <color rgb="FF4B0000"/>
      </bottom>
      <diagonal/>
    </border>
    <border>
      <left/>
      <right/>
      <top style="medium">
        <color rgb="FF4B0000"/>
      </top>
      <bottom style="thin">
        <color rgb="FF4B0000"/>
      </bottom>
      <diagonal/>
    </border>
    <border>
      <left style="medium">
        <color rgb="FF4B0000"/>
      </left>
      <right/>
      <top/>
      <bottom/>
      <diagonal/>
    </border>
    <border>
      <left style="thin">
        <color rgb="FF4B0000"/>
      </left>
      <right style="thin">
        <color rgb="FF4B0000"/>
      </right>
      <top style="thin">
        <color rgb="FF4B0000"/>
      </top>
      <bottom style="thin">
        <color rgb="FF4B0000"/>
      </bottom>
      <diagonal/>
    </border>
    <border>
      <left style="medium">
        <color rgb="FF4B0000"/>
      </left>
      <right/>
      <top style="thin">
        <color rgb="FF4B0000"/>
      </top>
      <bottom style="thin">
        <color rgb="FF4B0000"/>
      </bottom>
      <diagonal/>
    </border>
    <border>
      <left/>
      <right/>
      <top style="thin">
        <color rgb="FF4B0000"/>
      </top>
      <bottom style="thin">
        <color rgb="FF4B0000"/>
      </bottom>
      <diagonal/>
    </border>
    <border>
      <left style="thin">
        <color rgb="FF4B0000"/>
      </left>
      <right/>
      <top style="thin">
        <color rgb="FF4B0000"/>
      </top>
      <bottom style="thin">
        <color rgb="FF4B0000"/>
      </bottom>
      <diagonal/>
    </border>
    <border>
      <left/>
      <right style="thin">
        <color rgb="FF4B0000"/>
      </right>
      <top style="thin">
        <color rgb="FF4B0000"/>
      </top>
      <bottom style="thin">
        <color rgb="FF4B0000"/>
      </bottom>
      <diagonal/>
    </border>
    <border>
      <left style="medium">
        <color rgb="FF4B0000"/>
      </left>
      <right/>
      <top style="thin">
        <color rgb="FF4B0000"/>
      </top>
      <bottom style="medium">
        <color rgb="FF4B0000"/>
      </bottom>
      <diagonal/>
    </border>
    <border>
      <left/>
      <right/>
      <top style="thin">
        <color rgb="FF4B0000"/>
      </top>
      <bottom style="medium">
        <color rgb="FF4B0000"/>
      </bottom>
      <diagonal/>
    </border>
    <border>
      <left style="medium">
        <color rgb="FF4B0000"/>
      </left>
      <right style="medium">
        <color rgb="FF4B0000"/>
      </right>
      <top style="medium">
        <color rgb="FF4B0000"/>
      </top>
      <bottom style="thin">
        <color rgb="FF4B0000"/>
      </bottom>
      <diagonal/>
    </border>
    <border>
      <left/>
      <right/>
      <top style="medium">
        <color rgb="FF4B0000"/>
      </top>
      <bottom/>
      <diagonal/>
    </border>
    <border>
      <left style="medium">
        <color rgb="FF4B0000"/>
      </left>
      <right/>
      <top style="medium">
        <color rgb="FF4B0000"/>
      </top>
      <bottom/>
      <diagonal/>
    </border>
    <border>
      <left/>
      <right style="medium">
        <color rgb="FF4B0000"/>
      </right>
      <top style="medium">
        <color rgb="FF4B0000"/>
      </top>
      <bottom/>
      <diagonal/>
    </border>
    <border>
      <left style="medium">
        <color rgb="FF4B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4B0000"/>
      </left>
      <right/>
      <top style="thin">
        <color auto="1"/>
      </top>
      <bottom style="thin">
        <color rgb="FF4B0000"/>
      </bottom>
      <diagonal/>
    </border>
    <border>
      <left/>
      <right/>
      <top style="thin">
        <color auto="1"/>
      </top>
      <bottom style="thin">
        <color rgb="FF4B0000"/>
      </bottom>
      <diagonal/>
    </border>
    <border>
      <left/>
      <right style="medium">
        <color auto="1"/>
      </right>
      <top style="thin">
        <color auto="1"/>
      </top>
      <bottom style="thin">
        <color rgb="FF4B0000"/>
      </bottom>
      <diagonal/>
    </border>
    <border>
      <left style="medium">
        <color rgb="FF4B0000"/>
      </left>
      <right/>
      <top style="thin">
        <color rgb="FF4B0000"/>
      </top>
      <bottom/>
      <diagonal/>
    </border>
    <border>
      <left/>
      <right/>
      <top style="thin">
        <color rgb="FF4B0000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4B0000"/>
      </right>
      <top style="thin">
        <color rgb="FF4B0000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rgb="FF4B0000"/>
      </right>
      <top style="thin">
        <color rgb="FF4B0000"/>
      </top>
      <bottom style="medium">
        <color rgb="FF4B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4B0000"/>
      </right>
      <top style="medium">
        <color rgb="FF4B0000"/>
      </top>
      <bottom style="thin">
        <color rgb="FF4B0000"/>
      </bottom>
      <diagonal/>
    </border>
  </borders>
  <cellStyleXfs count="4">
    <xf numFmtId="0" fontId="0" fillId="0" borderId="0"/>
    <xf numFmtId="0" fontId="7" fillId="2" borderId="0"/>
    <xf numFmtId="0" fontId="8" fillId="3" borderId="0"/>
    <xf numFmtId="0" fontId="9" fillId="4" borderId="0"/>
  </cellStyleXfs>
  <cellXfs count="91">
    <xf numFmtId="0" fontId="0" fillId="0" borderId="0" xfId="0"/>
    <xf numFmtId="0" fontId="0" fillId="0" borderId="28" xfId="0" applyBorder="1" applyAlignment="1">
      <alignment horizontal="left" vertical="center" wrapText="1"/>
    </xf>
    <xf numFmtId="0" fontId="0" fillId="0" borderId="28" xfId="0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0" fontId="3" fillId="0" borderId="3" xfId="0" applyFont="1" applyBorder="1"/>
    <xf numFmtId="0" fontId="3" fillId="0" borderId="0" xfId="0" applyFont="1" applyAlignment="1">
      <alignment vertical="center"/>
    </xf>
    <xf numFmtId="0" fontId="3" fillId="5" borderId="5" xfId="0" applyFont="1" applyFill="1" applyBorder="1"/>
    <xf numFmtId="0" fontId="3" fillId="5" borderId="6" xfId="0" applyFont="1" applyFill="1" applyBorder="1"/>
    <xf numFmtId="164" fontId="3" fillId="5" borderId="6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5" borderId="8" xfId="0" applyFont="1" applyFill="1" applyBorder="1"/>
    <xf numFmtId="164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164" fontId="1" fillId="0" borderId="8" xfId="0" applyNumberFormat="1" applyFont="1" applyBorder="1"/>
    <xf numFmtId="0" fontId="1" fillId="0" borderId="0" xfId="0" applyFont="1" applyAlignment="1">
      <alignment horizontal="right"/>
    </xf>
    <xf numFmtId="165" fontId="0" fillId="0" borderId="6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164" fontId="1" fillId="0" borderId="0" xfId="0" applyNumberFormat="1" applyFont="1"/>
    <xf numFmtId="0" fontId="0" fillId="0" borderId="12" xfId="0" applyBorder="1"/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5" borderId="15" xfId="0" applyFont="1" applyFill="1" applyBorder="1"/>
    <xf numFmtId="0" fontId="3" fillId="5" borderId="16" xfId="0" applyFont="1" applyFill="1" applyBorder="1"/>
    <xf numFmtId="164" fontId="3" fillId="5" borderId="16" xfId="0" applyNumberFormat="1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164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16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5" fillId="0" borderId="0" xfId="0" applyFont="1"/>
    <xf numFmtId="164" fontId="3" fillId="0" borderId="0" xfId="0" applyNumberFormat="1" applyFont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166" fontId="0" fillId="0" borderId="28" xfId="0" applyNumberFormat="1" applyBorder="1"/>
    <xf numFmtId="0" fontId="9" fillId="4" borderId="29" xfId="3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/>
    <xf numFmtId="0" fontId="4" fillId="5" borderId="4" xfId="0" applyFont="1" applyFill="1" applyBorder="1" applyAlignment="1">
      <alignment horizontal="center"/>
    </xf>
    <xf numFmtId="0" fontId="0" fillId="0" borderId="6" xfId="0" applyBorder="1" applyAlignment="1">
      <alignment horizontal="left" wrapText="1"/>
    </xf>
    <xf numFmtId="0" fontId="3" fillId="5" borderId="1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0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7" fillId="2" borderId="28" xfId="1" applyNumberFormat="1" applyBorder="1" applyAlignment="1">
      <alignment horizontal="center" vertical="center"/>
    </xf>
    <xf numFmtId="0" fontId="0" fillId="0" borderId="28" xfId="0" applyBorder="1" applyAlignment="1">
      <alignment horizontal="right"/>
    </xf>
    <xf numFmtId="0" fontId="7" fillId="2" borderId="28" xfId="1" applyBorder="1" applyAlignment="1">
      <alignment horizontal="center" vertical="center"/>
    </xf>
    <xf numFmtId="0" fontId="0" fillId="0" borderId="28" xfId="0" applyBorder="1" applyAlignment="1">
      <alignment horizontal="left" vertical="center" wrapText="1"/>
    </xf>
    <xf numFmtId="166" fontId="0" fillId="0" borderId="28" xfId="0" applyNumberFormat="1" applyBorder="1" applyAlignment="1">
      <alignment horizontal="right"/>
    </xf>
    <xf numFmtId="0" fontId="8" fillId="3" borderId="28" xfId="2" applyBorder="1" applyAlignment="1">
      <alignment horizontal="center" vertical="center"/>
    </xf>
    <xf numFmtId="0" fontId="9" fillId="4" borderId="28" xfId="3" applyBorder="1" applyAlignment="1">
      <alignment horizontal="center" vertical="center"/>
    </xf>
  </cellXfs>
  <cellStyles count="4">
    <cellStyle name="Excel Built-in Bad" xfId="1" xr:uid="{00000000-0005-0000-0000-000006000000}"/>
    <cellStyle name="Excel Built-in Good" xfId="3" xr:uid="{00000000-0005-0000-0000-000008000000}"/>
    <cellStyle name="Excel Built-in Neutral" xfId="2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4B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72"/>
  <sheetViews>
    <sheetView tabSelected="1" topLeftCell="A25" zoomScale="160" zoomScaleNormal="160" workbookViewId="0">
      <selection activeCell="C56" sqref="C56"/>
    </sheetView>
  </sheetViews>
  <sheetFormatPr defaultColWidth="8.7109375" defaultRowHeight="15" x14ac:dyDescent="0.25"/>
  <cols>
    <col min="1" max="1" width="11.5703125" customWidth="1"/>
    <col min="2" max="2" width="11.85546875" customWidth="1"/>
    <col min="3" max="3" width="21.28515625" customWidth="1"/>
    <col min="4" max="4" width="29.28515625" customWidth="1"/>
    <col min="5" max="5" width="13" customWidth="1"/>
    <col min="6" max="6" width="10.5703125" style="3" customWidth="1"/>
    <col min="7" max="7" width="13.85546875" style="3" customWidth="1"/>
    <col min="8" max="8" width="16.5703125" customWidth="1"/>
    <col min="9" max="9" width="12" style="3" customWidth="1"/>
    <col min="10" max="10" width="8.42578125" customWidth="1"/>
    <col min="11" max="11" width="11.42578125" style="3" customWidth="1"/>
    <col min="12" max="12" width="12.140625" customWidth="1"/>
    <col min="14" max="14" width="4.42578125" customWidth="1"/>
    <col min="15" max="15" width="4.28515625" customWidth="1"/>
    <col min="16" max="16" width="4.140625" customWidth="1"/>
    <col min="17" max="17" width="11.42578125" style="4" customWidth="1"/>
    <col min="18" max="18" width="9.140625" customWidth="1"/>
    <col min="19" max="19" width="15" customWidth="1"/>
    <col min="20" max="20" width="16.28515625" customWidth="1"/>
    <col min="21" max="22" width="10.7109375" customWidth="1"/>
    <col min="23" max="23" width="13.42578125" customWidth="1"/>
    <col min="24" max="24" width="14.42578125" customWidth="1"/>
    <col min="25" max="25" width="27" customWidth="1"/>
  </cols>
  <sheetData>
    <row r="1" spans="3:26" x14ac:dyDescent="0.25">
      <c r="Z1" s="5" t="str">
        <f t="shared" ref="Z1:Z12" si="0">H5</f>
        <v>Mauser</v>
      </c>
    </row>
    <row r="2" spans="3:26" ht="15.75" customHeight="1" thickBot="1" x14ac:dyDescent="0.3">
      <c r="F2" s="6"/>
      <c r="Z2" s="5" t="str">
        <f t="shared" si="0"/>
        <v>Digikey</v>
      </c>
    </row>
    <row r="3" spans="3:26" x14ac:dyDescent="0.25">
      <c r="C3" s="74" t="s">
        <v>0</v>
      </c>
      <c r="D3" s="75"/>
      <c r="E3" s="75"/>
      <c r="F3" s="75"/>
      <c r="G3" s="75"/>
      <c r="H3" s="76"/>
      <c r="I3" s="7"/>
      <c r="K3" s="81" t="s">
        <v>1</v>
      </c>
      <c r="L3" s="81"/>
      <c r="M3" s="81"/>
      <c r="N3" s="81"/>
      <c r="O3" s="81"/>
      <c r="P3" s="81"/>
      <c r="Q3" s="81"/>
      <c r="S3" s="8"/>
      <c r="T3" s="8"/>
      <c r="U3" s="8"/>
      <c r="V3" s="8"/>
      <c r="W3" s="8"/>
      <c r="X3" s="8"/>
      <c r="Z3" s="5" t="str">
        <f t="shared" si="0"/>
        <v>Mauser</v>
      </c>
    </row>
    <row r="4" spans="3:26" x14ac:dyDescent="0.25">
      <c r="C4" s="9" t="s">
        <v>2</v>
      </c>
      <c r="D4" s="10" t="s">
        <v>3</v>
      </c>
      <c r="E4" s="10" t="s">
        <v>4</v>
      </c>
      <c r="F4" s="11" t="s">
        <v>5</v>
      </c>
      <c r="G4" s="12" t="s">
        <v>6</v>
      </c>
      <c r="H4" s="10" t="s">
        <v>7</v>
      </c>
      <c r="I4" s="13"/>
      <c r="S4" s="8"/>
      <c r="T4" s="8"/>
      <c r="U4" s="8"/>
      <c r="V4" s="8"/>
      <c r="W4" s="8"/>
      <c r="X4" s="8"/>
      <c r="Z4" s="5" t="str">
        <f t="shared" si="0"/>
        <v>Digikey</v>
      </c>
    </row>
    <row r="5" spans="3:26" x14ac:dyDescent="0.25">
      <c r="C5" s="14" t="s">
        <v>8</v>
      </c>
      <c r="D5" s="15" t="s">
        <v>9</v>
      </c>
      <c r="E5" s="15">
        <v>1</v>
      </c>
      <c r="F5" s="16">
        <v>10.37</v>
      </c>
      <c r="G5" s="17" t="s">
        <v>10</v>
      </c>
      <c r="H5" s="15" t="s">
        <v>11</v>
      </c>
      <c r="I5" s="18"/>
      <c r="K5" s="71" t="s">
        <v>0</v>
      </c>
      <c r="L5" s="71"/>
      <c r="M5" s="71"/>
      <c r="N5" s="71"/>
      <c r="O5" s="71"/>
      <c r="P5" s="71"/>
      <c r="Q5" s="71"/>
      <c r="S5" s="19"/>
      <c r="T5" s="19"/>
      <c r="U5" s="19"/>
      <c r="V5" s="19"/>
      <c r="W5" s="19"/>
      <c r="X5" s="19"/>
      <c r="Z5" s="5" t="str">
        <f t="shared" si="0"/>
        <v>Mauser</v>
      </c>
    </row>
    <row r="6" spans="3:26" x14ac:dyDescent="0.25">
      <c r="C6" s="14" t="s">
        <v>12</v>
      </c>
      <c r="D6" s="15" t="s">
        <v>13</v>
      </c>
      <c r="E6" s="15">
        <v>1</v>
      </c>
      <c r="F6" s="16">
        <v>0</v>
      </c>
      <c r="G6" s="17" t="s">
        <v>14</v>
      </c>
      <c r="H6" s="15" t="s">
        <v>15</v>
      </c>
      <c r="I6" s="18"/>
      <c r="K6" s="20" t="s">
        <v>16</v>
      </c>
      <c r="L6" s="21" t="s">
        <v>17</v>
      </c>
      <c r="M6" s="21"/>
      <c r="N6" s="21"/>
      <c r="O6" s="21"/>
      <c r="P6" s="21"/>
      <c r="Q6" s="22" t="s">
        <v>18</v>
      </c>
      <c r="S6" s="23"/>
      <c r="T6" s="23"/>
      <c r="U6" s="23"/>
      <c r="V6" s="23"/>
      <c r="W6" s="23"/>
      <c r="X6" s="23"/>
      <c r="Z6" s="5" t="str">
        <f t="shared" si="0"/>
        <v>HobbyKing</v>
      </c>
    </row>
    <row r="7" spans="3:26" x14ac:dyDescent="0.25">
      <c r="C7" s="14" t="s">
        <v>19</v>
      </c>
      <c r="D7" s="15" t="s">
        <v>20</v>
      </c>
      <c r="E7" s="15">
        <v>1</v>
      </c>
      <c r="F7" s="16">
        <v>0</v>
      </c>
      <c r="G7" s="17" t="s">
        <v>14</v>
      </c>
      <c r="H7" s="15" t="s">
        <v>11</v>
      </c>
      <c r="I7" s="18"/>
      <c r="K7" s="24">
        <f>SUM(E5:E16)</f>
        <v>21</v>
      </c>
      <c r="L7" s="80" t="str">
        <f t="array" ref="L7">IF(COUNTA(H5:H16)=0,"---",INDEX(H5:H16,MATCH(MAX(COUNTIF(H5:H16,H5:H16)*(H5:H16&lt;&gt;"")),COUNTIF(H5:H16,H5:H16)*(H5:H16&lt;&gt;""),0)))</f>
        <v>Mauser</v>
      </c>
      <c r="M7" s="80"/>
      <c r="N7" s="80"/>
      <c r="O7" s="80"/>
      <c r="P7" s="80"/>
      <c r="Q7" s="25">
        <f>SUMPRODUCT(E5:E16,F5:F16)</f>
        <v>266.86</v>
      </c>
      <c r="X7" s="26"/>
      <c r="Z7" s="5" t="str">
        <f t="shared" si="0"/>
        <v>Amazon</v>
      </c>
    </row>
    <row r="8" spans="3:26" x14ac:dyDescent="0.25">
      <c r="C8" s="14" t="s">
        <v>21</v>
      </c>
      <c r="D8" s="15" t="s">
        <v>22</v>
      </c>
      <c r="E8" s="15">
        <v>1</v>
      </c>
      <c r="F8" s="16">
        <v>0</v>
      </c>
      <c r="G8" s="17" t="s">
        <v>14</v>
      </c>
      <c r="H8" s="15" t="s">
        <v>15</v>
      </c>
      <c r="I8" s="18"/>
      <c r="Z8" s="5" t="str">
        <f t="shared" si="0"/>
        <v>Amazon</v>
      </c>
    </row>
    <row r="9" spans="3:26" x14ac:dyDescent="0.25">
      <c r="C9" s="14" t="s">
        <v>23</v>
      </c>
      <c r="D9" s="15" t="s">
        <v>24</v>
      </c>
      <c r="E9" s="15">
        <v>2</v>
      </c>
      <c r="F9" s="16">
        <v>0</v>
      </c>
      <c r="G9" s="17" t="s">
        <v>14</v>
      </c>
      <c r="H9" s="15" t="s">
        <v>11</v>
      </c>
      <c r="I9" s="18"/>
      <c r="K9" s="71" t="s">
        <v>25</v>
      </c>
      <c r="L9" s="71"/>
      <c r="M9" s="71"/>
      <c r="N9" s="71"/>
      <c r="O9" s="71"/>
      <c r="P9" s="71"/>
      <c r="Q9" s="71"/>
      <c r="Z9" s="5" t="str">
        <f t="shared" si="0"/>
        <v>Mauser</v>
      </c>
    </row>
    <row r="10" spans="3:26" x14ac:dyDescent="0.25">
      <c r="C10" s="14" t="s">
        <v>26</v>
      </c>
      <c r="D10" s="15" t="s">
        <v>27</v>
      </c>
      <c r="E10" s="15">
        <v>4</v>
      </c>
      <c r="F10" s="16">
        <v>19.11</v>
      </c>
      <c r="G10" s="17" t="s">
        <v>10</v>
      </c>
      <c r="H10" s="15" t="s">
        <v>28</v>
      </c>
      <c r="I10" s="18"/>
      <c r="K10" s="20" t="s">
        <v>16</v>
      </c>
      <c r="L10" s="21" t="s">
        <v>17</v>
      </c>
      <c r="M10" s="21"/>
      <c r="N10" s="21"/>
      <c r="O10" s="21"/>
      <c r="P10" s="21"/>
      <c r="Q10" s="22" t="s">
        <v>18</v>
      </c>
      <c r="Z10" s="5" t="str">
        <f t="shared" si="0"/>
        <v>Amazon</v>
      </c>
    </row>
    <row r="11" spans="3:26" x14ac:dyDescent="0.25">
      <c r="C11" s="14" t="s">
        <v>29</v>
      </c>
      <c r="D11" s="15" t="s">
        <v>30</v>
      </c>
      <c r="E11" s="15">
        <v>4</v>
      </c>
      <c r="F11" s="16">
        <v>18.989999999999998</v>
      </c>
      <c r="G11" s="17" t="s">
        <v>10</v>
      </c>
      <c r="H11" s="15" t="s">
        <v>31</v>
      </c>
      <c r="I11" s="18"/>
      <c r="K11" s="24">
        <f>SUM(E20:E31)</f>
        <v>16</v>
      </c>
      <c r="L11" s="80" t="str">
        <f t="array" ref="L11">IF(COUNTA(H20:H31)=0,"---",INDEX(H20:H31,MATCH(MAX(COUNTIF(H20:H31,H20:H31)*(H20:H31&lt;&gt;"")),COUNTIF(H20:H31,H20:H31)*(H20:H31&lt;&gt;""),0)))</f>
        <v>Mauser</v>
      </c>
      <c r="M11" s="80"/>
      <c r="N11" s="80"/>
      <c r="O11" s="80"/>
      <c r="P11" s="80"/>
      <c r="Q11" s="25">
        <f>SUMPRODUCT(E20:E31,F20:F31)</f>
        <v>80.820000000000007</v>
      </c>
      <c r="Z11" s="5" t="str">
        <f t="shared" si="0"/>
        <v>Amazon</v>
      </c>
    </row>
    <row r="12" spans="3:26" x14ac:dyDescent="0.25">
      <c r="C12" s="14" t="s">
        <v>32</v>
      </c>
      <c r="D12" s="15" t="s">
        <v>33</v>
      </c>
      <c r="E12" s="15">
        <v>1</v>
      </c>
      <c r="F12" s="16">
        <v>28.96</v>
      </c>
      <c r="G12" s="17" t="s">
        <v>10</v>
      </c>
      <c r="H12" s="15" t="s">
        <v>31</v>
      </c>
      <c r="I12" s="18"/>
      <c r="Z12" s="5" t="str">
        <f t="shared" si="0"/>
        <v>Casa</v>
      </c>
    </row>
    <row r="13" spans="3:26" x14ac:dyDescent="0.25">
      <c r="C13" s="14" t="s">
        <v>34</v>
      </c>
      <c r="D13" s="15" t="s">
        <v>35</v>
      </c>
      <c r="E13" s="15">
        <v>1</v>
      </c>
      <c r="F13" s="27">
        <v>8.84</v>
      </c>
      <c r="G13" s="17" t="s">
        <v>10</v>
      </c>
      <c r="H13" s="15" t="s">
        <v>11</v>
      </c>
      <c r="I13" s="18"/>
      <c r="K13" s="71" t="s">
        <v>36</v>
      </c>
      <c r="L13" s="71"/>
      <c r="M13" s="71"/>
      <c r="N13" s="71"/>
      <c r="O13" s="71"/>
      <c r="P13" s="71"/>
      <c r="Q13" s="71"/>
      <c r="Z13" s="5" t="str">
        <f t="shared" ref="Z13:Z24" si="1">H20</f>
        <v>Mauser</v>
      </c>
    </row>
    <row r="14" spans="3:26" x14ac:dyDescent="0.25">
      <c r="C14" s="14" t="s">
        <v>37</v>
      </c>
      <c r="D14" s="15" t="s">
        <v>38</v>
      </c>
      <c r="E14" s="15">
        <v>1</v>
      </c>
      <c r="F14" s="16">
        <v>23.75</v>
      </c>
      <c r="G14" s="17" t="s">
        <v>10</v>
      </c>
      <c r="H14" s="15" t="s">
        <v>31</v>
      </c>
      <c r="I14" s="18"/>
      <c r="K14" s="20" t="s">
        <v>16</v>
      </c>
      <c r="L14" s="21" t="s">
        <v>17</v>
      </c>
      <c r="M14" s="21"/>
      <c r="N14" s="21"/>
      <c r="O14" s="21"/>
      <c r="P14" s="21"/>
      <c r="Q14" s="22" t="s">
        <v>18</v>
      </c>
      <c r="Z14" s="5" t="str">
        <f t="shared" si="1"/>
        <v>Amazon</v>
      </c>
    </row>
    <row r="15" spans="3:26" x14ac:dyDescent="0.25">
      <c r="C15" s="14" t="s">
        <v>39</v>
      </c>
      <c r="D15" s="15" t="s">
        <v>40</v>
      </c>
      <c r="E15" s="15">
        <v>2</v>
      </c>
      <c r="F15" s="16">
        <v>21.27</v>
      </c>
      <c r="G15" s="17" t="s">
        <v>10</v>
      </c>
      <c r="H15" s="15" t="s">
        <v>31</v>
      </c>
      <c r="I15" s="18"/>
      <c r="K15" s="24">
        <f>SUM(E5:E16,E20:E31)</f>
        <v>37</v>
      </c>
      <c r="L15" s="80" t="str">
        <f t="array" ref="L15">IF(COUNTA(Z1:Z26)=0,"---",INDEX(Z1:Z26,MATCH(MAX(COUNTIF(Z1:Z26,Z1:Z26)*(Z1:Z26&lt;&gt;"")),COUNTIF(Z1:Z26,Z1:Z26)*(Z1:Z26&lt;&gt;""),0)))</f>
        <v>Mauser</v>
      </c>
      <c r="M15" s="80"/>
      <c r="N15" s="80"/>
      <c r="O15" s="80"/>
      <c r="P15" s="80"/>
      <c r="Q15" s="25">
        <f>SUMPRODUCT(E5:E16,F5:F16)+SUMPRODUCT(E20:E31,F20:F31)</f>
        <v>347.68</v>
      </c>
      <c r="Z15" s="5" t="str">
        <f t="shared" si="1"/>
        <v>Amazon</v>
      </c>
    </row>
    <row r="16" spans="3:26" ht="15.75" customHeight="1" x14ac:dyDescent="0.25">
      <c r="C16" s="28" t="s">
        <v>41</v>
      </c>
      <c r="D16" s="29" t="s">
        <v>42</v>
      </c>
      <c r="E16" s="29">
        <v>2</v>
      </c>
      <c r="F16" s="30">
        <v>0</v>
      </c>
      <c r="G16" s="31" t="s">
        <v>14</v>
      </c>
      <c r="H16" s="29" t="s">
        <v>43</v>
      </c>
      <c r="I16" s="18"/>
      <c r="Z16" s="5" t="str">
        <f t="shared" si="1"/>
        <v>Mauser</v>
      </c>
    </row>
    <row r="17" spans="3:26" ht="15.75" customHeight="1" x14ac:dyDescent="0.25">
      <c r="K17" s="71" t="s">
        <v>44</v>
      </c>
      <c r="L17" s="71"/>
      <c r="M17" s="71"/>
      <c r="N17" s="71"/>
      <c r="O17" s="71"/>
      <c r="P17" s="71"/>
      <c r="Q17" s="71"/>
      <c r="Z17" s="5" t="str">
        <f t="shared" si="1"/>
        <v>Escola</v>
      </c>
    </row>
    <row r="18" spans="3:26" x14ac:dyDescent="0.25">
      <c r="C18" s="73" t="s">
        <v>25</v>
      </c>
      <c r="D18" s="73"/>
      <c r="E18" s="73"/>
      <c r="F18" s="73"/>
      <c r="G18" s="73"/>
      <c r="H18" s="73"/>
      <c r="I18" s="7"/>
      <c r="K18" s="20" t="s">
        <v>16</v>
      </c>
      <c r="L18" s="21" t="s">
        <v>17</v>
      </c>
      <c r="M18" s="21"/>
      <c r="N18" s="21"/>
      <c r="O18" s="21"/>
      <c r="P18" s="21"/>
      <c r="Q18" s="22" t="s">
        <v>18</v>
      </c>
      <c r="Z18" s="5" t="str">
        <f t="shared" si="1"/>
        <v>Escola</v>
      </c>
    </row>
    <row r="19" spans="3:26" x14ac:dyDescent="0.25">
      <c r="C19" s="9" t="s">
        <v>2</v>
      </c>
      <c r="D19" s="10" t="s">
        <v>3</v>
      </c>
      <c r="E19" s="10" t="s">
        <v>4</v>
      </c>
      <c r="F19" s="11" t="s">
        <v>5</v>
      </c>
      <c r="G19" s="12"/>
      <c r="H19" s="10" t="s">
        <v>7</v>
      </c>
      <c r="I19" s="13"/>
      <c r="K19" s="24">
        <f>SUM(E5:E16,E20:E31,E34:E43)</f>
        <v>58</v>
      </c>
      <c r="L19" s="80" t="str">
        <f t="array" ref="L19">IF(COUNTA(Z1:Z34)=0,"---",INDEX(Z1:Z34,MATCH(MAX(COUNTIF(Z1:Z34,Z1:Z34)*(Z1:Z34&lt;&gt;"")),COUNTIF(Z1:Z34,Z1:Z34)*(Z1:Z34&lt;&gt;""),0)))</f>
        <v>Mauser</v>
      </c>
      <c r="M19" s="80"/>
      <c r="N19" s="80"/>
      <c r="O19" s="80"/>
      <c r="P19" s="80"/>
      <c r="Q19" s="25">
        <f>SUMPRODUCT(E5:E16,F5:F16)+SUMPRODUCT(E20:E31,F20:F31)+SUMPRODUCT(E34:E46,F34:F46)</f>
        <v>503.05</v>
      </c>
      <c r="Z19" s="5" t="str">
        <f t="shared" si="1"/>
        <v>Escola</v>
      </c>
    </row>
    <row r="20" spans="3:26" x14ac:dyDescent="0.25">
      <c r="C20" s="14" t="s">
        <v>8</v>
      </c>
      <c r="D20" s="15" t="s">
        <v>9</v>
      </c>
      <c r="E20" s="15">
        <v>1</v>
      </c>
      <c r="F20" s="16">
        <v>10.37</v>
      </c>
      <c r="G20" s="17" t="s">
        <v>10</v>
      </c>
      <c r="H20" s="15" t="s">
        <v>11</v>
      </c>
      <c r="I20" s="18"/>
      <c r="Z20" s="5" t="str">
        <f t="shared" si="1"/>
        <v>Mauser</v>
      </c>
    </row>
    <row r="21" spans="3:26" x14ac:dyDescent="0.25">
      <c r="C21" s="14" t="s">
        <v>45</v>
      </c>
      <c r="D21" s="15" t="s">
        <v>46</v>
      </c>
      <c r="E21" s="15">
        <v>1</v>
      </c>
      <c r="F21" s="16">
        <v>25.34</v>
      </c>
      <c r="G21" s="17" t="s">
        <v>10</v>
      </c>
      <c r="H21" s="15" t="s">
        <v>31</v>
      </c>
      <c r="I21" s="18"/>
      <c r="K21" s="71" t="s">
        <v>47</v>
      </c>
      <c r="L21" s="71"/>
      <c r="M21" s="71"/>
      <c r="N21" s="71"/>
      <c r="O21" s="71"/>
      <c r="P21" s="71"/>
      <c r="Q21" s="71"/>
      <c r="Z21" s="5" t="str">
        <f t="shared" si="1"/>
        <v>Amazon</v>
      </c>
    </row>
    <row r="22" spans="3:26" x14ac:dyDescent="0.25">
      <c r="C22" s="14" t="s">
        <v>32</v>
      </c>
      <c r="D22" s="15" t="s">
        <v>33</v>
      </c>
      <c r="E22" s="15">
        <v>1</v>
      </c>
      <c r="F22" s="16">
        <v>28.96</v>
      </c>
      <c r="G22" s="17" t="s">
        <v>10</v>
      </c>
      <c r="H22" s="15" t="s">
        <v>31</v>
      </c>
      <c r="I22" s="18"/>
      <c r="K22" s="20" t="s">
        <v>16</v>
      </c>
      <c r="L22" s="21" t="s">
        <v>17</v>
      </c>
      <c r="M22" s="21"/>
      <c r="N22" s="21"/>
      <c r="O22" s="21"/>
      <c r="P22" s="21"/>
      <c r="Q22" s="22" t="s">
        <v>18</v>
      </c>
      <c r="Z22" s="5" t="str">
        <f t="shared" si="1"/>
        <v>Mauser</v>
      </c>
    </row>
    <row r="23" spans="3:26" ht="15" customHeight="1" x14ac:dyDescent="0.25">
      <c r="C23" s="14" t="s">
        <v>48</v>
      </c>
      <c r="D23" s="15" t="s">
        <v>49</v>
      </c>
      <c r="E23" s="15">
        <v>2</v>
      </c>
      <c r="F23" s="16">
        <v>0</v>
      </c>
      <c r="G23" s="17" t="s">
        <v>14</v>
      </c>
      <c r="H23" s="15" t="s">
        <v>11</v>
      </c>
      <c r="I23" s="18"/>
      <c r="K23" s="24">
        <f>SUM(E49)</f>
        <v>2</v>
      </c>
      <c r="L23" s="72" t="str">
        <f>H49 &amp; T(N("Eu não preciso de uma conta inteira para isto."))</f>
        <v>Mauser</v>
      </c>
      <c r="M23" s="72"/>
      <c r="N23" s="72"/>
      <c r="O23" s="72"/>
      <c r="P23" s="72"/>
      <c r="Q23" s="25">
        <f>F49 + N("Nem aqui...")</f>
        <v>25</v>
      </c>
      <c r="Z23" s="5" t="str">
        <f t="shared" si="1"/>
        <v>Casa</v>
      </c>
    </row>
    <row r="24" spans="3:26" x14ac:dyDescent="0.25">
      <c r="C24" s="14" t="s">
        <v>50</v>
      </c>
      <c r="D24" s="15" t="s">
        <v>51</v>
      </c>
      <c r="E24" s="15">
        <v>2</v>
      </c>
      <c r="F24" s="16">
        <v>0</v>
      </c>
      <c r="G24" s="17" t="s">
        <v>14</v>
      </c>
      <c r="H24" s="15" t="s">
        <v>52</v>
      </c>
      <c r="I24" s="18"/>
      <c r="Z24" s="5">
        <f t="shared" si="1"/>
        <v>0</v>
      </c>
    </row>
    <row r="25" spans="3:26" x14ac:dyDescent="0.25">
      <c r="C25" s="14" t="s">
        <v>53</v>
      </c>
      <c r="D25" s="15" t="s">
        <v>54</v>
      </c>
      <c r="E25" s="15">
        <v>2</v>
      </c>
      <c r="F25" s="16">
        <v>0</v>
      </c>
      <c r="G25" s="17" t="s">
        <v>14</v>
      </c>
      <c r="H25" s="15" t="s">
        <v>52</v>
      </c>
      <c r="I25" s="18"/>
      <c r="K25" s="4" t="s">
        <v>55</v>
      </c>
      <c r="Z25" s="5" t="str">
        <f>""</f>
        <v/>
      </c>
    </row>
    <row r="26" spans="3:26" x14ac:dyDescent="0.25">
      <c r="C26" s="14" t="s">
        <v>56</v>
      </c>
      <c r="D26" s="15" t="s">
        <v>57</v>
      </c>
      <c r="E26" s="15">
        <v>1</v>
      </c>
      <c r="F26" s="16">
        <v>0</v>
      </c>
      <c r="G26" s="17" t="s">
        <v>14</v>
      </c>
      <c r="H26" s="15" t="s">
        <v>52</v>
      </c>
      <c r="I26" s="18"/>
      <c r="K26" s="32" t="s">
        <v>58</v>
      </c>
      <c r="L26" s="33"/>
      <c r="M26" s="33"/>
      <c r="N26" s="33"/>
      <c r="O26" s="33"/>
      <c r="P26" s="33"/>
      <c r="Q26" s="33"/>
      <c r="Z26" s="5" t="str">
        <f>""</f>
        <v/>
      </c>
    </row>
    <row r="27" spans="3:26" x14ac:dyDescent="0.25">
      <c r="C27" s="14" t="s">
        <v>59</v>
      </c>
      <c r="D27" s="15" t="s">
        <v>24</v>
      </c>
      <c r="E27" s="15">
        <v>2</v>
      </c>
      <c r="F27" s="16">
        <v>0</v>
      </c>
      <c r="G27" s="17" t="s">
        <v>14</v>
      </c>
      <c r="H27" s="15" t="s">
        <v>11</v>
      </c>
      <c r="I27" s="18"/>
      <c r="K27" s="34"/>
      <c r="L27" s="35"/>
      <c r="M27" s="35"/>
      <c r="N27" s="35"/>
      <c r="O27" s="35"/>
      <c r="P27" s="35"/>
      <c r="Q27" s="36"/>
      <c r="Z27" s="5" t="str">
        <f t="shared" ref="Z27:Z34" si="2">H34</f>
        <v>Amazon</v>
      </c>
    </row>
    <row r="28" spans="3:26" x14ac:dyDescent="0.25">
      <c r="C28" s="14" t="s">
        <v>60</v>
      </c>
      <c r="D28" s="15" t="s">
        <v>61</v>
      </c>
      <c r="E28" s="15">
        <v>1</v>
      </c>
      <c r="F28" s="16">
        <v>7.31</v>
      </c>
      <c r="G28" s="17" t="s">
        <v>10</v>
      </c>
      <c r="H28" s="15" t="s">
        <v>31</v>
      </c>
      <c r="I28" s="18"/>
      <c r="K28" s="4" t="s">
        <v>62</v>
      </c>
      <c r="Q28" s="37"/>
      <c r="Z28" s="5" t="str">
        <f t="shared" si="2"/>
        <v>Amazon</v>
      </c>
    </row>
    <row r="29" spans="3:26" x14ac:dyDescent="0.25">
      <c r="C29" s="14" t="s">
        <v>34</v>
      </c>
      <c r="D29" s="15" t="s">
        <v>35</v>
      </c>
      <c r="E29" s="15">
        <v>1</v>
      </c>
      <c r="F29" s="27">
        <v>8.84</v>
      </c>
      <c r="G29" s="17" t="s">
        <v>10</v>
      </c>
      <c r="H29" s="15" t="s">
        <v>11</v>
      </c>
      <c r="I29" s="18"/>
      <c r="Q29" s="26"/>
      <c r="Z29" s="5" t="str">
        <f t="shared" si="2"/>
        <v>Leroy Merlin</v>
      </c>
    </row>
    <row r="30" spans="3:26" ht="15.75" customHeight="1" x14ac:dyDescent="0.25">
      <c r="C30" s="28" t="s">
        <v>41</v>
      </c>
      <c r="D30" s="29" t="s">
        <v>42</v>
      </c>
      <c r="E30" s="29">
        <v>2</v>
      </c>
      <c r="F30" s="30">
        <v>0</v>
      </c>
      <c r="G30" s="31" t="s">
        <v>14</v>
      </c>
      <c r="H30" s="29" t="s">
        <v>43</v>
      </c>
      <c r="I30" s="18"/>
      <c r="Z30" s="5" t="str">
        <f t="shared" si="2"/>
        <v>Mauser</v>
      </c>
    </row>
    <row r="31" spans="3:26" ht="15.75" customHeight="1" thickBot="1" x14ac:dyDescent="0.3">
      <c r="C31" s="38"/>
      <c r="D31" s="38"/>
      <c r="E31" s="38"/>
      <c r="F31" s="39"/>
      <c r="G31" s="40"/>
      <c r="H31" s="38"/>
      <c r="Z31" s="5" t="str">
        <f t="shared" si="2"/>
        <v>Várias</v>
      </c>
    </row>
    <row r="32" spans="3:26" x14ac:dyDescent="0.25">
      <c r="C32" s="77" t="s">
        <v>63</v>
      </c>
      <c r="D32" s="78"/>
      <c r="E32" s="78"/>
      <c r="F32" s="78"/>
      <c r="G32" s="78"/>
      <c r="H32" s="79"/>
      <c r="Z32" s="5" t="str">
        <f t="shared" si="2"/>
        <v>Curto Circuito</v>
      </c>
    </row>
    <row r="33" spans="3:26" x14ac:dyDescent="0.25">
      <c r="C33" s="41" t="s">
        <v>2</v>
      </c>
      <c r="D33" s="42" t="s">
        <v>3</v>
      </c>
      <c r="E33" s="42" t="s">
        <v>4</v>
      </c>
      <c r="F33" s="43" t="s">
        <v>5</v>
      </c>
      <c r="G33" s="44"/>
      <c r="H33" s="42" t="s">
        <v>7</v>
      </c>
      <c r="Z33" s="5" t="str">
        <f t="shared" si="2"/>
        <v>Farmácia</v>
      </c>
    </row>
    <row r="34" spans="3:26" x14ac:dyDescent="0.25">
      <c r="C34" s="45" t="s">
        <v>64</v>
      </c>
      <c r="D34" s="46" t="s">
        <v>65</v>
      </c>
      <c r="E34" s="46">
        <v>1</v>
      </c>
      <c r="F34" s="47">
        <v>45.99</v>
      </c>
      <c r="G34" s="48" t="s">
        <v>10</v>
      </c>
      <c r="H34" s="49" t="s">
        <v>31</v>
      </c>
      <c r="Z34" s="5" t="str">
        <f t="shared" si="2"/>
        <v>Leroy Merlin</v>
      </c>
    </row>
    <row r="35" spans="3:26" x14ac:dyDescent="0.25">
      <c r="C35" s="14" t="s">
        <v>66</v>
      </c>
      <c r="D35" s="15" t="s">
        <v>67</v>
      </c>
      <c r="E35" s="15">
        <v>1</v>
      </c>
      <c r="F35" s="16">
        <v>21.28</v>
      </c>
      <c r="G35" s="17" t="s">
        <v>10</v>
      </c>
      <c r="H35" s="15" t="s">
        <v>31</v>
      </c>
      <c r="I35" s="7"/>
      <c r="Z35" s="5">
        <f>H50</f>
        <v>0</v>
      </c>
    </row>
    <row r="36" spans="3:26" x14ac:dyDescent="0.25">
      <c r="C36" s="14" t="s">
        <v>68</v>
      </c>
      <c r="D36" s="15" t="s">
        <v>69</v>
      </c>
      <c r="E36" s="15">
        <v>2</v>
      </c>
      <c r="F36" s="16">
        <v>2.8</v>
      </c>
      <c r="G36" s="17" t="s">
        <v>10</v>
      </c>
      <c r="H36" s="15" t="s">
        <v>70</v>
      </c>
      <c r="I36" s="13"/>
      <c r="Z36" s="5">
        <f>H51</f>
        <v>0</v>
      </c>
    </row>
    <row r="37" spans="3:26" x14ac:dyDescent="0.25">
      <c r="C37" s="14" t="s">
        <v>71</v>
      </c>
      <c r="D37" s="15" t="s">
        <v>72</v>
      </c>
      <c r="E37" s="15">
        <v>4</v>
      </c>
      <c r="F37" s="16">
        <v>0.73</v>
      </c>
      <c r="G37" s="17" t="s">
        <v>10</v>
      </c>
      <c r="H37" s="15" t="s">
        <v>11</v>
      </c>
      <c r="I37" s="18"/>
      <c r="Z37" s="5">
        <f>H52</f>
        <v>0</v>
      </c>
    </row>
    <row r="38" spans="3:26" x14ac:dyDescent="0.25">
      <c r="C38" s="14" t="s">
        <v>73</v>
      </c>
      <c r="D38" s="15" t="s">
        <v>74</v>
      </c>
      <c r="E38" s="15">
        <v>8</v>
      </c>
      <c r="F38" s="16">
        <v>3.5</v>
      </c>
      <c r="G38" s="17" t="s">
        <v>75</v>
      </c>
      <c r="H38" s="15" t="s">
        <v>76</v>
      </c>
      <c r="I38" s="18"/>
      <c r="Z38" s="5" t="str">
        <f>""</f>
        <v/>
      </c>
    </row>
    <row r="39" spans="3:26" x14ac:dyDescent="0.25">
      <c r="C39" s="14" t="s">
        <v>77</v>
      </c>
      <c r="D39" s="15" t="s">
        <v>78</v>
      </c>
      <c r="E39" s="15">
        <v>1</v>
      </c>
      <c r="F39" s="16">
        <v>35.9</v>
      </c>
      <c r="G39" s="17" t="s">
        <v>79</v>
      </c>
      <c r="H39" s="15" t="s">
        <v>80</v>
      </c>
      <c r="I39" s="18"/>
      <c r="Z39" s="5">
        <f>H54</f>
        <v>0</v>
      </c>
    </row>
    <row r="40" spans="3:26" x14ac:dyDescent="0.25">
      <c r="C40" s="14" t="s">
        <v>81</v>
      </c>
      <c r="D40" s="15" t="s">
        <v>82</v>
      </c>
      <c r="E40" s="15">
        <v>1</v>
      </c>
      <c r="F40" s="16">
        <v>0</v>
      </c>
      <c r="G40" s="17" t="s">
        <v>10</v>
      </c>
      <c r="H40" s="15" t="s">
        <v>83</v>
      </c>
      <c r="I40" s="18"/>
      <c r="Z40" s="5">
        <f>H55</f>
        <v>0</v>
      </c>
    </row>
    <row r="41" spans="3:26" x14ac:dyDescent="0.25">
      <c r="C41" s="14" t="s">
        <v>84</v>
      </c>
      <c r="D41" s="15" t="s">
        <v>85</v>
      </c>
      <c r="E41" s="15">
        <v>1</v>
      </c>
      <c r="F41" s="16">
        <v>0</v>
      </c>
      <c r="G41" s="17" t="s">
        <v>10</v>
      </c>
      <c r="H41" s="15" t="s">
        <v>70</v>
      </c>
      <c r="I41" s="18"/>
      <c r="Z41" s="5">
        <f>H56</f>
        <v>0</v>
      </c>
    </row>
    <row r="42" spans="3:26" x14ac:dyDescent="0.25">
      <c r="C42" s="50" t="s">
        <v>86</v>
      </c>
      <c r="D42" s="51" t="s">
        <v>87</v>
      </c>
      <c r="E42" s="51">
        <v>1</v>
      </c>
      <c r="F42" s="52">
        <v>0</v>
      </c>
      <c r="G42" s="53" t="s">
        <v>14</v>
      </c>
      <c r="H42" s="51" t="s">
        <v>43</v>
      </c>
      <c r="I42" s="18"/>
      <c r="Z42" s="5" t="str">
        <f>""</f>
        <v/>
      </c>
    </row>
    <row r="43" spans="3:26" x14ac:dyDescent="0.25">
      <c r="C43" s="54" t="s">
        <v>88</v>
      </c>
      <c r="D43" s="55" t="s">
        <v>89</v>
      </c>
      <c r="E43" s="55">
        <v>1</v>
      </c>
      <c r="F43" s="56">
        <v>8</v>
      </c>
      <c r="G43" s="57" t="s">
        <v>10</v>
      </c>
      <c r="H43" s="58" t="s">
        <v>70</v>
      </c>
      <c r="I43" s="18"/>
      <c r="Z43" s="5" t="str">
        <f>""</f>
        <v/>
      </c>
    </row>
    <row r="44" spans="3:26" x14ac:dyDescent="0.25">
      <c r="C44" s="14" t="s">
        <v>90</v>
      </c>
      <c r="D44" s="15" t="s">
        <v>91</v>
      </c>
      <c r="E44" s="15"/>
      <c r="F44" s="16">
        <v>0</v>
      </c>
      <c r="G44" s="17" t="s">
        <v>14</v>
      </c>
      <c r="H44" s="15" t="s">
        <v>52</v>
      </c>
      <c r="I44" s="18"/>
      <c r="Z44" s="5" t="str">
        <f>""</f>
        <v/>
      </c>
    </row>
    <row r="45" spans="3:26" x14ac:dyDescent="0.25">
      <c r="C45" s="14" t="s">
        <v>92</v>
      </c>
      <c r="D45" s="15" t="s">
        <v>93</v>
      </c>
      <c r="E45" s="15">
        <v>1</v>
      </c>
      <c r="F45" s="16">
        <v>0</v>
      </c>
      <c r="G45" s="17" t="s">
        <v>14</v>
      </c>
      <c r="H45" s="15" t="s">
        <v>52</v>
      </c>
      <c r="I45" s="18"/>
      <c r="Z45" s="5" t="str">
        <f>""</f>
        <v/>
      </c>
    </row>
    <row r="46" spans="3:26" ht="15.75" customHeight="1" x14ac:dyDescent="0.25">
      <c r="C46" s="50" t="s">
        <v>94</v>
      </c>
      <c r="D46" s="51" t="s">
        <v>95</v>
      </c>
      <c r="E46" s="51">
        <v>1</v>
      </c>
      <c r="F46" s="52">
        <v>7.68</v>
      </c>
      <c r="G46" s="53" t="s">
        <v>10</v>
      </c>
      <c r="H46" s="59" t="s">
        <v>31</v>
      </c>
      <c r="Z46" s="5" t="str">
        <f>""</f>
        <v/>
      </c>
    </row>
    <row r="47" spans="3:26" ht="15.75" customHeight="1" x14ac:dyDescent="0.25">
      <c r="C47" s="60"/>
      <c r="D47" s="60"/>
      <c r="E47" s="60"/>
      <c r="F47" s="61"/>
      <c r="G47" s="61"/>
      <c r="H47" s="60"/>
      <c r="Z47" s="5">
        <f>H62</f>
        <v>0</v>
      </c>
    </row>
    <row r="48" spans="3:26" x14ac:dyDescent="0.25">
      <c r="C48" s="73" t="s">
        <v>96</v>
      </c>
      <c r="D48" s="73"/>
      <c r="E48" s="73"/>
      <c r="F48" s="73"/>
      <c r="G48" s="73"/>
      <c r="H48" s="73"/>
      <c r="I48" s="36"/>
      <c r="Z48" s="5">
        <f>H63</f>
        <v>0</v>
      </c>
    </row>
    <row r="49" spans="2:26" ht="15.75" customHeight="1" x14ac:dyDescent="0.25">
      <c r="B49" s="36"/>
      <c r="C49" s="28" t="s">
        <v>97</v>
      </c>
      <c r="D49" s="29" t="s">
        <v>98</v>
      </c>
      <c r="E49" s="29">
        <v>2</v>
      </c>
      <c r="F49" s="30">
        <v>25</v>
      </c>
      <c r="G49" s="31" t="s">
        <v>79</v>
      </c>
      <c r="H49" s="62" t="s">
        <v>11</v>
      </c>
      <c r="I49" s="34"/>
      <c r="Z49" s="5">
        <f>H64</f>
        <v>0</v>
      </c>
    </row>
    <row r="50" spans="2:26" x14ac:dyDescent="0.25">
      <c r="F50" s="6"/>
      <c r="Z50" s="5">
        <f>H68</f>
        <v>0</v>
      </c>
    </row>
    <row r="51" spans="2:26" x14ac:dyDescent="0.25">
      <c r="C51" s="70" t="s">
        <v>99</v>
      </c>
      <c r="F51" s="6"/>
      <c r="Z51" s="5">
        <f>H69</f>
        <v>0</v>
      </c>
    </row>
    <row r="52" spans="2:26" x14ac:dyDescent="0.25">
      <c r="C52" t="s">
        <v>100</v>
      </c>
      <c r="F52" s="6"/>
    </row>
    <row r="54" spans="2:26" x14ac:dyDescent="0.25">
      <c r="C54" s="70" t="s">
        <v>130</v>
      </c>
      <c r="F54" s="6"/>
    </row>
    <row r="55" spans="2:26" x14ac:dyDescent="0.25">
      <c r="C55" t="s">
        <v>131</v>
      </c>
      <c r="F55" s="6"/>
      <c r="H55" s="63"/>
    </row>
    <row r="56" spans="2:26" x14ac:dyDescent="0.25">
      <c r="C56" t="s">
        <v>132</v>
      </c>
      <c r="F56" s="6"/>
    </row>
    <row r="62" spans="2:26" x14ac:dyDescent="0.25">
      <c r="F62" s="6"/>
    </row>
    <row r="63" spans="2:26" x14ac:dyDescent="0.25">
      <c r="F63" s="6"/>
    </row>
    <row r="64" spans="2:26" x14ac:dyDescent="0.25">
      <c r="F64" s="6"/>
    </row>
    <row r="66" spans="3:8" x14ac:dyDescent="0.25">
      <c r="C66" s="8"/>
      <c r="D66" s="8"/>
      <c r="E66" s="8"/>
      <c r="F66" s="8"/>
      <c r="G66" s="8"/>
      <c r="H66" s="8"/>
    </row>
    <row r="67" spans="3:8" x14ac:dyDescent="0.25">
      <c r="C67" s="36"/>
      <c r="D67" s="36"/>
      <c r="E67" s="36"/>
      <c r="F67" s="64"/>
      <c r="G67" s="34"/>
      <c r="H67" s="36"/>
    </row>
    <row r="68" spans="3:8" x14ac:dyDescent="0.25">
      <c r="F68" s="6"/>
    </row>
    <row r="69" spans="3:8" x14ac:dyDescent="0.25">
      <c r="F69" s="6"/>
    </row>
    <row r="70" spans="3:8" x14ac:dyDescent="0.25">
      <c r="F70" s="6"/>
    </row>
    <row r="71" spans="3:8" x14ac:dyDescent="0.25">
      <c r="F71" s="6"/>
    </row>
    <row r="72" spans="3:8" x14ac:dyDescent="0.25">
      <c r="F72" s="6"/>
    </row>
  </sheetData>
  <mergeCells count="15">
    <mergeCell ref="K21:Q21"/>
    <mergeCell ref="L23:P23"/>
    <mergeCell ref="C48:H48"/>
    <mergeCell ref="C3:H3"/>
    <mergeCell ref="C32:H32"/>
    <mergeCell ref="K13:Q13"/>
    <mergeCell ref="L15:P15"/>
    <mergeCell ref="K17:Q17"/>
    <mergeCell ref="C18:H18"/>
    <mergeCell ref="L19:P19"/>
    <mergeCell ref="K3:Q3"/>
    <mergeCell ref="K5:Q5"/>
    <mergeCell ref="L7:P7"/>
    <mergeCell ref="K9:Q9"/>
    <mergeCell ref="L11:P11"/>
  </mergeCells>
  <dataValidations count="1">
    <dataValidation type="list" allowBlank="1" showInputMessage="1" showErrorMessage="1" sqref="G5:G16 G20:G31 G34:G46 G49:G52 G54:G56 G62:G64 G68:G72" xr:uid="{00000000-0002-0000-0000-000000000000}">
      <formula1>"TIAGO,GONÇALO,AMBOS,OUTRO"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7"/>
  <sheetViews>
    <sheetView zoomScale="160" zoomScaleNormal="160" workbookViewId="0">
      <selection activeCell="H29" sqref="H29"/>
    </sheetView>
  </sheetViews>
  <sheetFormatPr defaultColWidth="8.7109375" defaultRowHeight="15" x14ac:dyDescent="0.25"/>
  <cols>
    <col min="2" max="2" width="10.28515625" customWidth="1"/>
    <col min="3" max="3" width="38.7109375" customWidth="1"/>
    <col min="4" max="4" width="12.7109375" customWidth="1"/>
    <col min="7" max="7" width="10.28515625" customWidth="1"/>
    <col min="8" max="8" width="38.7109375" customWidth="1"/>
    <col min="9" max="9" width="12.7109375" customWidth="1"/>
  </cols>
  <sheetData>
    <row r="1" spans="2:10" ht="15.75" customHeight="1" x14ac:dyDescent="0.25"/>
    <row r="2" spans="2:10" ht="16.5" customHeight="1" x14ac:dyDescent="0.25">
      <c r="B2" s="82" t="s">
        <v>101</v>
      </c>
      <c r="C2" s="82"/>
      <c r="D2" s="82"/>
      <c r="E2" s="83" t="s">
        <v>102</v>
      </c>
      <c r="G2" s="82" t="s">
        <v>103</v>
      </c>
      <c r="H2" s="82"/>
      <c r="I2" s="82"/>
      <c r="J2" s="83" t="s">
        <v>102</v>
      </c>
    </row>
    <row r="3" spans="2:10" ht="15.75" customHeight="1" x14ac:dyDescent="0.25">
      <c r="B3" s="65" t="s">
        <v>104</v>
      </c>
      <c r="C3" s="65" t="s">
        <v>105</v>
      </c>
      <c r="D3" s="65" t="s">
        <v>106</v>
      </c>
      <c r="E3" s="83"/>
      <c r="G3" s="65" t="s">
        <v>104</v>
      </c>
      <c r="H3" s="65" t="s">
        <v>105</v>
      </c>
      <c r="I3" s="65" t="s">
        <v>106</v>
      </c>
      <c r="J3" s="83"/>
    </row>
    <row r="4" spans="2:10" ht="15.75" customHeight="1" x14ac:dyDescent="0.25">
      <c r="B4" s="2">
        <v>1</v>
      </c>
      <c r="C4" s="66" t="s">
        <v>107</v>
      </c>
      <c r="D4" s="67">
        <v>45901</v>
      </c>
      <c r="E4" s="84" t="s">
        <v>108</v>
      </c>
      <c r="G4" s="2">
        <v>1</v>
      </c>
      <c r="H4" s="66" t="s">
        <v>107</v>
      </c>
      <c r="I4" s="67">
        <v>45901</v>
      </c>
      <c r="J4" s="86" t="s">
        <v>108</v>
      </c>
    </row>
    <row r="5" spans="2:10" ht="15.75" customHeight="1" x14ac:dyDescent="0.25">
      <c r="B5" s="85">
        <v>2</v>
      </c>
      <c r="C5" s="87" t="s">
        <v>109</v>
      </c>
      <c r="D5" s="88">
        <v>45931</v>
      </c>
      <c r="E5" s="84"/>
      <c r="G5" s="85">
        <v>2</v>
      </c>
      <c r="H5" s="87" t="s">
        <v>109</v>
      </c>
      <c r="I5" s="88">
        <v>45931</v>
      </c>
      <c r="J5" s="86"/>
    </row>
    <row r="6" spans="2:10" ht="15.75" customHeight="1" x14ac:dyDescent="0.25">
      <c r="B6" s="85"/>
      <c r="C6" s="85"/>
      <c r="D6" s="85"/>
      <c r="E6" s="85"/>
      <c r="G6" s="85"/>
      <c r="H6" s="85"/>
      <c r="I6" s="85"/>
      <c r="J6" s="86"/>
    </row>
    <row r="7" spans="2:10" ht="15.75" customHeight="1" x14ac:dyDescent="0.25">
      <c r="B7" s="85">
        <v>3</v>
      </c>
      <c r="C7" s="87" t="s">
        <v>110</v>
      </c>
      <c r="D7" s="88">
        <v>45962</v>
      </c>
      <c r="E7" s="89" t="s">
        <v>111</v>
      </c>
      <c r="G7" s="85">
        <v>3</v>
      </c>
      <c r="H7" s="87" t="s">
        <v>112</v>
      </c>
      <c r="I7" s="88">
        <v>45962</v>
      </c>
      <c r="J7" s="86"/>
    </row>
    <row r="8" spans="2:10" ht="15.75" customHeight="1" x14ac:dyDescent="0.25">
      <c r="B8" s="85"/>
      <c r="C8" s="85"/>
      <c r="D8" s="85"/>
      <c r="E8" s="85"/>
      <c r="G8" s="85"/>
      <c r="H8" s="85"/>
      <c r="I8" s="85"/>
      <c r="J8" s="85"/>
    </row>
    <row r="9" spans="2:10" ht="15.75" customHeight="1" x14ac:dyDescent="0.25">
      <c r="B9" s="85"/>
      <c r="C9" s="85"/>
      <c r="D9" s="85"/>
      <c r="E9" s="85"/>
      <c r="G9" s="85"/>
      <c r="H9" s="85"/>
      <c r="I9" s="85"/>
      <c r="J9" s="86"/>
    </row>
    <row r="10" spans="2:10" ht="15.75" customHeight="1" x14ac:dyDescent="0.25">
      <c r="B10" s="85">
        <v>4</v>
      </c>
      <c r="C10" s="87" t="s">
        <v>113</v>
      </c>
      <c r="D10" s="88">
        <v>45992</v>
      </c>
      <c r="E10" s="90" t="s">
        <v>114</v>
      </c>
      <c r="G10" s="85">
        <v>4</v>
      </c>
      <c r="H10" s="87" t="s">
        <v>113</v>
      </c>
      <c r="I10" s="88">
        <v>45992</v>
      </c>
      <c r="J10" s="86"/>
    </row>
    <row r="11" spans="2:10" ht="15.75" customHeight="1" x14ac:dyDescent="0.25">
      <c r="B11" s="85"/>
      <c r="C11" s="85"/>
      <c r="D11" s="85"/>
      <c r="E11" s="85"/>
      <c r="G11" s="85"/>
      <c r="H11" s="85"/>
      <c r="I11" s="85"/>
      <c r="J11" s="85"/>
    </row>
    <row r="12" spans="2:10" ht="15.75" customHeight="1" x14ac:dyDescent="0.25">
      <c r="B12" s="85"/>
      <c r="C12" s="85"/>
      <c r="D12" s="85"/>
      <c r="E12" s="90"/>
      <c r="G12" s="85"/>
      <c r="H12" s="85"/>
      <c r="I12" s="85"/>
      <c r="J12" s="86"/>
    </row>
    <row r="13" spans="2:10" ht="15.75" customHeight="1" x14ac:dyDescent="0.25">
      <c r="B13" s="85">
        <v>5</v>
      </c>
      <c r="C13" s="87" t="s">
        <v>115</v>
      </c>
      <c r="D13" s="88">
        <v>46023</v>
      </c>
      <c r="E13" s="90"/>
      <c r="G13" s="85">
        <v>5</v>
      </c>
      <c r="H13" s="87" t="s">
        <v>116</v>
      </c>
      <c r="I13" s="88">
        <v>46023</v>
      </c>
      <c r="J13" s="86"/>
    </row>
    <row r="14" spans="2:10" ht="15.75" customHeight="1" x14ac:dyDescent="0.25">
      <c r="B14" s="85"/>
      <c r="C14" s="85"/>
      <c r="D14" s="85"/>
      <c r="E14" s="90"/>
      <c r="G14" s="85"/>
      <c r="H14" s="85"/>
      <c r="I14" s="85"/>
      <c r="J14" s="86"/>
    </row>
    <row r="15" spans="2:10" ht="15.75" customHeight="1" x14ac:dyDescent="0.25">
      <c r="B15" s="85">
        <v>6</v>
      </c>
      <c r="C15" s="87" t="s">
        <v>117</v>
      </c>
      <c r="D15" s="88">
        <v>46054</v>
      </c>
      <c r="E15" s="90"/>
      <c r="G15" s="85">
        <v>6</v>
      </c>
      <c r="H15" s="87" t="s">
        <v>116</v>
      </c>
      <c r="I15" s="88">
        <v>46054</v>
      </c>
      <c r="J15" s="86"/>
    </row>
    <row r="16" spans="2:10" ht="15.75" customHeight="1" x14ac:dyDescent="0.25">
      <c r="B16" s="85"/>
      <c r="C16" s="85"/>
      <c r="D16" s="85"/>
      <c r="E16" s="90"/>
      <c r="G16" s="85"/>
      <c r="H16" s="85"/>
      <c r="I16" s="85"/>
      <c r="J16" s="86"/>
    </row>
    <row r="17" spans="2:10" ht="15" customHeight="1" x14ac:dyDescent="0.25">
      <c r="B17" s="2">
        <v>7</v>
      </c>
      <c r="C17" s="66" t="s">
        <v>118</v>
      </c>
      <c r="D17" s="67">
        <v>46082</v>
      </c>
      <c r="E17" s="90"/>
      <c r="G17" s="2">
        <v>7</v>
      </c>
      <c r="H17" s="1" t="s">
        <v>119</v>
      </c>
      <c r="I17" s="67">
        <v>46082</v>
      </c>
      <c r="J17" s="86"/>
    </row>
    <row r="18" spans="2:10" ht="15.75" customHeight="1" x14ac:dyDescent="0.25">
      <c r="B18" s="85">
        <v>8</v>
      </c>
      <c r="C18" s="87" t="s">
        <v>120</v>
      </c>
      <c r="D18" s="88">
        <v>46113</v>
      </c>
      <c r="E18" s="90"/>
      <c r="G18" s="85">
        <v>8</v>
      </c>
      <c r="H18" s="87" t="s">
        <v>121</v>
      </c>
      <c r="I18" s="88">
        <v>46113</v>
      </c>
      <c r="J18" s="86"/>
    </row>
    <row r="19" spans="2:10" ht="15.75" customHeight="1" x14ac:dyDescent="0.25">
      <c r="B19" s="85"/>
      <c r="C19" s="85"/>
      <c r="D19" s="85"/>
      <c r="E19" s="85"/>
      <c r="G19" s="85"/>
      <c r="H19" s="85"/>
      <c r="I19" s="85"/>
      <c r="J19" s="85"/>
    </row>
    <row r="20" spans="2:10" ht="15.75" customHeight="1" x14ac:dyDescent="0.25">
      <c r="B20" s="85"/>
      <c r="C20" s="85"/>
      <c r="D20" s="85"/>
      <c r="E20" s="90"/>
      <c r="G20" s="85">
        <v>9</v>
      </c>
      <c r="H20" s="87" t="s">
        <v>122</v>
      </c>
      <c r="I20" s="88">
        <v>46143</v>
      </c>
      <c r="J20" s="89" t="s">
        <v>111</v>
      </c>
    </row>
    <row r="21" spans="2:10" ht="15.75" customHeight="1" x14ac:dyDescent="0.25">
      <c r="B21" s="85">
        <v>9</v>
      </c>
      <c r="C21" s="87" t="s">
        <v>123</v>
      </c>
      <c r="D21" s="88">
        <v>46143</v>
      </c>
      <c r="E21" s="90"/>
      <c r="G21" s="85"/>
      <c r="H21" s="85"/>
      <c r="I21" s="85"/>
      <c r="J21" s="85"/>
    </row>
    <row r="22" spans="2:10" ht="15.75" customHeight="1" x14ac:dyDescent="0.25">
      <c r="B22" s="85"/>
      <c r="C22" s="85"/>
      <c r="D22" s="85"/>
      <c r="E22" s="90"/>
      <c r="G22" s="85"/>
      <c r="H22" s="85"/>
      <c r="I22" s="85"/>
      <c r="J22" s="85"/>
    </row>
    <row r="23" spans="2:10" ht="15.75" customHeight="1" x14ac:dyDescent="0.25">
      <c r="B23" s="2">
        <v>10</v>
      </c>
      <c r="C23" s="66" t="s">
        <v>124</v>
      </c>
      <c r="D23" s="67">
        <v>46174</v>
      </c>
      <c r="E23" s="90"/>
      <c r="G23" s="2">
        <v>10</v>
      </c>
      <c r="H23" s="66" t="s">
        <v>125</v>
      </c>
      <c r="I23" s="67">
        <v>46174</v>
      </c>
      <c r="J23" s="68" t="s">
        <v>114</v>
      </c>
    </row>
    <row r="24" spans="2:10" ht="18.75" customHeight="1" x14ac:dyDescent="0.3">
      <c r="E24" s="69" t="s">
        <v>126</v>
      </c>
      <c r="J24" s="69" t="s">
        <v>127</v>
      </c>
    </row>
    <row r="26" spans="2:10" x14ac:dyDescent="0.25">
      <c r="B26" t="s">
        <v>128</v>
      </c>
    </row>
    <row r="27" spans="2:10" x14ac:dyDescent="0.25">
      <c r="B27" t="s">
        <v>129</v>
      </c>
    </row>
  </sheetData>
  <mergeCells count="51">
    <mergeCell ref="I20:I22"/>
    <mergeCell ref="B15:B16"/>
    <mergeCell ref="C15:C16"/>
    <mergeCell ref="H15:H16"/>
    <mergeCell ref="G7:G9"/>
    <mergeCell ref="H7:H9"/>
    <mergeCell ref="J20:J22"/>
    <mergeCell ref="B21:B22"/>
    <mergeCell ref="C21:C22"/>
    <mergeCell ref="D21:D22"/>
    <mergeCell ref="I15:I16"/>
    <mergeCell ref="B18:B20"/>
    <mergeCell ref="C18:C20"/>
    <mergeCell ref="D18:D20"/>
    <mergeCell ref="G18:G19"/>
    <mergeCell ref="H18:H19"/>
    <mergeCell ref="I18:I19"/>
    <mergeCell ref="G20:G22"/>
    <mergeCell ref="H20:H22"/>
    <mergeCell ref="I7:I9"/>
    <mergeCell ref="B10:B12"/>
    <mergeCell ref="C10:C12"/>
    <mergeCell ref="D10:D12"/>
    <mergeCell ref="E10:E23"/>
    <mergeCell ref="G10:G12"/>
    <mergeCell ref="H10:H12"/>
    <mergeCell ref="I10:I12"/>
    <mergeCell ref="B13:B14"/>
    <mergeCell ref="C13:C14"/>
    <mergeCell ref="D13:D14"/>
    <mergeCell ref="G13:G14"/>
    <mergeCell ref="H13:H14"/>
    <mergeCell ref="I13:I14"/>
    <mergeCell ref="D15:D16"/>
    <mergeCell ref="G15:G16"/>
    <mergeCell ref="B2:D2"/>
    <mergeCell ref="E2:E3"/>
    <mergeCell ref="G2:I2"/>
    <mergeCell ref="J2:J3"/>
    <mergeCell ref="E4:E6"/>
    <mergeCell ref="J4:J19"/>
    <mergeCell ref="B5:B6"/>
    <mergeCell ref="C5:C6"/>
    <mergeCell ref="D5:D6"/>
    <mergeCell ref="G5:G6"/>
    <mergeCell ref="H5:H6"/>
    <mergeCell ref="I5:I6"/>
    <mergeCell ref="B7:B9"/>
    <mergeCell ref="C7:C9"/>
    <mergeCell ref="D7:D9"/>
    <mergeCell ref="E7:E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Planeamento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Miguel Ramos Brito</dc:creator>
  <dc:description/>
  <cp:lastModifiedBy>Tiago Miguel Ramos Brito</cp:lastModifiedBy>
  <cp:revision>0</cp:revision>
  <dcterms:created xsi:type="dcterms:W3CDTF">2026-05-26T16:53:41Z</dcterms:created>
  <dcterms:modified xsi:type="dcterms:W3CDTF">2026-07-23T00:58:52Z</dcterms:modified>
  <dc:language>en-US</dc:language>
</cp:coreProperties>
</file>