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" sheetId="1" state="visible" r:id="rId3"/>
    <sheet name="Planeamen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<sst xmlns="http://schemas.openxmlformats.org/spreadsheetml/2006/main" count="234" uniqueCount="130">
  <si>
    <t xml:space="preserve">DRONE</t>
  </si>
  <si>
    <t xml:space="preserve">CONTAS</t>
  </si>
  <si>
    <t xml:space="preserve">NOME</t>
  </si>
  <si>
    <t xml:space="preserve">MODELO/REF</t>
  </si>
  <si>
    <t xml:space="preserve">QNT P/ EQUIP.</t>
  </si>
  <si>
    <t xml:space="preserve">PREÇO</t>
  </si>
  <si>
    <t xml:space="preserve">COMPRADO P.</t>
  </si>
  <si>
    <t xml:space="preserve">LOJA / LUGAR</t>
  </si>
  <si>
    <t xml:space="preserve">Microcontrolador</t>
  </si>
  <si>
    <t xml:space="preserve">ESP32-S3 WROOM-1</t>
  </si>
  <si>
    <t xml:space="preserve">TIAGO</t>
  </si>
  <si>
    <t xml:space="preserve">Mauser</t>
  </si>
  <si>
    <t xml:space="preserve">Câmara Térmica</t>
  </si>
  <si>
    <t xml:space="preserve">55º MLX90640</t>
  </si>
  <si>
    <t xml:space="preserve">OUTRO</t>
  </si>
  <si>
    <t xml:space="preserve">Digikey</t>
  </si>
  <si>
    <t xml:space="preserve">QNT EQUIP.</t>
  </si>
  <si>
    <t xml:space="preserve">FREQ. LOJA / LUGAR</t>
  </si>
  <si>
    <t xml:space="preserve">TOTAL</t>
  </si>
  <si>
    <t xml:space="preserve">Sensor de Gás</t>
  </si>
  <si>
    <t xml:space="preserve">MQ-7</t>
  </si>
  <si>
    <t xml:space="preserve">Sensor de Chama</t>
  </si>
  <si>
    <t xml:space="preserve">YG1006</t>
  </si>
  <si>
    <t xml:space="preserve">Tranceptores</t>
  </si>
  <si>
    <t xml:space="preserve">Whadda WPI322</t>
  </si>
  <si>
    <t xml:space="preserve">COMANDO</t>
  </si>
  <si>
    <t xml:space="preserve">ESC</t>
  </si>
  <si>
    <t xml:space="preserve">20A</t>
  </si>
  <si>
    <t xml:space="preserve">HobbyKing</t>
  </si>
  <si>
    <t xml:space="preserve">Motor sem Escovas</t>
  </si>
  <si>
    <t xml:space="preserve">A2212 1000KV</t>
  </si>
  <si>
    <t xml:space="preserve">Amazon</t>
  </si>
  <si>
    <t xml:space="preserve">Bateria</t>
  </si>
  <si>
    <t xml:space="preserve">LiPo 2200MAH 11.1V (3S) 130C</t>
  </si>
  <si>
    <t xml:space="preserve">Breadboard</t>
  </si>
  <si>
    <t xml:space="preserve">Qualquer, Grande</t>
  </si>
  <si>
    <t xml:space="preserve">DRONE + COMANDO</t>
  </si>
  <si>
    <t xml:space="preserve">Estrutura</t>
  </si>
  <si>
    <t xml:space="preserve">F450 Quadcopter</t>
  </si>
  <si>
    <t xml:space="preserve">Conector XT60</t>
  </si>
  <si>
    <t xml:space="preserve">Pacote M / F</t>
  </si>
  <si>
    <t xml:space="preserve">Condensador</t>
  </si>
  <si>
    <t xml:space="preserve">10UF 16V</t>
  </si>
  <si>
    <t xml:space="preserve">Casa</t>
  </si>
  <si>
    <t xml:space="preserve">DRONE + COMANDO + GERAL / OUTROS</t>
  </si>
  <si>
    <t xml:space="preserve">Ecrã</t>
  </si>
  <si>
    <t xml:space="preserve">LAFVIN TFT LCD 4.0"</t>
  </si>
  <si>
    <t xml:space="preserve">MATERIAL NÃO USADO</t>
  </si>
  <si>
    <t xml:space="preserve">Joystick</t>
  </si>
  <si>
    <t xml:space="preserve">KS0008</t>
  </si>
  <si>
    <t xml:space="preserve">Botão</t>
  </si>
  <si>
    <t xml:space="preserve">Genérico, Botão Tátil</t>
  </si>
  <si>
    <t xml:space="preserve">Escola</t>
  </si>
  <si>
    <t xml:space="preserve">LED</t>
  </si>
  <si>
    <t xml:space="preserve">Genérico, Vermelho e Amarelo</t>
  </si>
  <si>
    <t xml:space="preserve">Isto foi o que nós gastamos no projeto, não inclui o que obtemos gratuitamente.</t>
  </si>
  <si>
    <t xml:space="preserve">Buzzer</t>
  </si>
  <si>
    <t xml:space="preserve">Piezo Ativo</t>
  </si>
  <si>
    <t xml:space="preserve">Se tiveres a fazer plágio na tua PAP, espero que isto te assuste o suficiente.</t>
  </si>
  <si>
    <t xml:space="preserve">Transceptor</t>
  </si>
  <si>
    <t xml:space="preserve">Conversor Buck</t>
  </si>
  <si>
    <t xml:space="preserve">LM2596</t>
  </si>
  <si>
    <t xml:space="preserve">Isto não está a muitas das peças que nós queimamos/não usamos ou que ficaram extra, senão daria 721,36€.</t>
  </si>
  <si>
    <t xml:space="preserve">GERAL / OUTROS</t>
  </si>
  <si>
    <t xml:space="preserve">Carregador LiPo</t>
  </si>
  <si>
    <t xml:space="preserve">HAISITO HB6</t>
  </si>
  <si>
    <t xml:space="preserve">LiPo Buzzer</t>
  </si>
  <si>
    <t xml:space="preserve">YUNIQUE GREEN-CLEAN-POWER</t>
  </si>
  <si>
    <t xml:space="preserve">Parafusos</t>
  </si>
  <si>
    <t xml:space="preserve">Vários</t>
  </si>
  <si>
    <t xml:space="preserve">Leroy Merlin</t>
  </si>
  <si>
    <t xml:space="preserve">Pinos</t>
  </si>
  <si>
    <t xml:space="preserve">Conjunto 40 (F)</t>
  </si>
  <si>
    <t xml:space="preserve">Jumpers</t>
  </si>
  <si>
    <t xml:space="preserve">Conjunto (MM, MF, FF)</t>
  </si>
  <si>
    <t xml:space="preserve">AMBOS</t>
  </si>
  <si>
    <t xml:space="preserve">Várias</t>
  </si>
  <si>
    <t xml:space="preserve">Ácido </t>
  </si>
  <si>
    <t xml:space="preserve">Cloreto Férrico</t>
  </si>
  <si>
    <t xml:space="preserve">GONÇALO</t>
  </si>
  <si>
    <t xml:space="preserve">Curto Circuito</t>
  </si>
  <si>
    <t xml:space="preserve">Álcool</t>
  </si>
  <si>
    <t xml:space="preserve">Isopropílico</t>
  </si>
  <si>
    <t xml:space="preserve">Farmácia</t>
  </si>
  <si>
    <t xml:space="preserve">Chaves de Ferramentas</t>
  </si>
  <si>
    <t xml:space="preserve">Conjunto</t>
  </si>
  <si>
    <t xml:space="preserve">Lixa</t>
  </si>
  <si>
    <t xml:space="preserve">Água (Grau 200)</t>
  </si>
  <si>
    <t xml:space="preserve">Lata Spray Tinta</t>
  </si>
  <si>
    <t xml:space="preserve">Branca para PVC</t>
  </si>
  <si>
    <t xml:space="preserve">Impressora 3D</t>
  </si>
  <si>
    <t xml:space="preserve">Elegoo Neptune 4</t>
  </si>
  <si>
    <t xml:space="preserve">Filamento</t>
  </si>
  <si>
    <t xml:space="preserve">PLA 1.75MM 1KG (LARANJA)</t>
  </si>
  <si>
    <t xml:space="preserve">Velcro</t>
  </si>
  <si>
    <t xml:space="preserve">Adesivos de Dupla Face</t>
  </si>
  <si>
    <t xml:space="preserve">NÃO USADOS</t>
  </si>
  <si>
    <t xml:space="preserve">Placa PCB</t>
  </si>
  <si>
    <t xml:space="preserve">Dupla Camada, Tratamento UV</t>
  </si>
  <si>
    <t xml:space="preserve">Apesar de não termos usado no projeto final, está disponivel um circuito para placas de circuito impresso que servem para a placa referida acima,</t>
  </si>
  <si>
    <t xml:space="preserve">Funciona da mesma forma, com os mesmos pinos.</t>
  </si>
  <si>
    <t xml:space="preserve">Calendário (Expectativa)</t>
  </si>
  <si>
    <t xml:space="preserve">Timeline</t>
  </si>
  <si>
    <t xml:space="preserve">Calendário (Realidade)</t>
  </si>
  <si>
    <t xml:space="preserve">Etapas</t>
  </si>
  <si>
    <t xml:space="preserve">Tarefa</t>
  </si>
  <si>
    <t xml:space="preserve">Mês</t>
  </si>
  <si>
    <t xml:space="preserve">Planeamento de Ideias</t>
  </si>
  <si>
    <t xml:space="preserve">Passado</t>
  </si>
  <si>
    <t xml:space="preserve">Fazer Checklist dos Materiais
Pesquisa do Trabalho</t>
  </si>
  <si>
    <t xml:space="preserve">Encomendar Materiais
Fazer Relatório/Apresentação da Pre-PAP
Verificar Compatibilidade dos Materiais</t>
  </si>
  <si>
    <t xml:space="preserve">Presente</t>
  </si>
  <si>
    <t xml:space="preserve">Encomendar Materiais
Fazer Apresentação da Pre-PAP
Verificar Compatibilidade dos Materiais</t>
  </si>
  <si>
    <t xml:space="preserve">Testar Materiais
Encomendar Materiais Restantes
Estudo em Programação C++</t>
  </si>
  <si>
    <t xml:space="preserve">Futuro</t>
  </si>
  <si>
    <t xml:space="preserve">Iniciar as Montagens (Protótipo)
Estudo em Programação C++</t>
  </si>
  <si>
    <t xml:space="preserve">Testar Materiais
Estudo em Programação C++</t>
  </si>
  <si>
    <t xml:space="preserve">Iniciar a Montagem
Estudo em Programação C++</t>
  </si>
  <si>
    <t xml:space="preserve">Montagem</t>
  </si>
  <si>
    <t xml:space="preserve">Montagem do Protótipo
Design da Placa PCB</t>
  </si>
  <si>
    <t xml:space="preserve">Montagem
Realização de um Show do Drone
Fazer o Relatório/Apresentação Final</t>
  </si>
  <si>
    <t xml:space="preserve">Montagem do Protótipo
Modelagem em Blender e Design PCB</t>
  </si>
  <si>
    <t xml:space="preserve">Fazer a Pré-Apresentação Final
Treinar Apresentação
Modelagem em Blender e Design PCB</t>
  </si>
  <si>
    <t xml:space="preserve">Fazer o Relatório/Apresentação Final
Treinar Apresentação</t>
  </si>
  <si>
    <t xml:space="preserve">Treinar Apresentação</t>
  </si>
  <si>
    <t xml:space="preserve">Terminar o Trabalho</t>
  </si>
  <si>
    <t xml:space="preserve">CALENDÁRIO FEITO EM NOVEMBRO DE 2025</t>
  </si>
  <si>
    <t xml:space="preserve">CALENDÁRIO FEITO EM ABRIL DE 2026</t>
  </si>
  <si>
    <t xml:space="preserve">Isto foi o nosso planeamento de como iria decorrer o nosso projeto, com uma expectativa vs realidade.</t>
  </si>
  <si>
    <t xml:space="preserve">Se tiveres a recriar este projeto, podes ignorar esta sheet.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</si>
</sst>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[$€-2]\ * #,##0.00_);_([$€-2]\ * \(#,##0.00\);_([$€-2]\ * \-??_);_(@_)"/>
    <numFmt numFmtId="166" formatCode="General"/>
    <numFmt numFmtId="167" formatCode="_(\$* #,##0.00_);_(\$* \(#,##0.00\);_(\$* \-??_);_(@_)"/>
    <numFmt numFmtId="168" formatCode="m/yyyy;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8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4B0000"/>
        <bgColor rgb="FF660066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>
        <color rgb="FF4B0000"/>
      </left>
      <right/>
      <top style="medium">
        <color rgb="FF4B0000"/>
      </top>
      <bottom style="thin">
        <color rgb="FF4B0000"/>
      </bottom>
      <diagonal/>
    </border>
    <border diagonalUp="false" diagonalDown="false">
      <left/>
      <right/>
      <top style="medium">
        <color rgb="FF4B0000"/>
      </top>
      <bottom style="thin">
        <color rgb="FF4B0000"/>
      </bottom>
      <diagonal/>
    </border>
    <border diagonalUp="false" diagonalDown="false">
      <left style="medium">
        <color rgb="FF4B0000"/>
      </left>
      <right/>
      <top/>
      <bottom/>
      <diagonal/>
    </border>
    <border diagonalUp="false" diagonalDown="false">
      <left style="thin">
        <color rgb="FF4B0000"/>
      </left>
      <right style="thin">
        <color rgb="FF4B0000"/>
      </right>
      <top style="thin">
        <color rgb="FF4B0000"/>
      </top>
      <bottom style="thin">
        <color rgb="FF4B0000"/>
      </bottom>
      <diagonal/>
    </border>
    <border diagonalUp="false" diagonalDown="false">
      <left style="medium">
        <color rgb="FF4B0000"/>
      </left>
      <right/>
      <top style="thin">
        <color rgb="FF4B0000"/>
      </top>
      <bottom style="thin">
        <color rgb="FF4B0000"/>
      </bottom>
      <diagonal/>
    </border>
    <border diagonalUp="false" diagonalDown="false">
      <left/>
      <right/>
      <top style="thin">
        <color rgb="FF4B0000"/>
      </top>
      <bottom style="thin">
        <color rgb="FF4B0000"/>
      </bottom>
      <diagonal/>
    </border>
    <border diagonalUp="false" diagonalDown="false">
      <left style="thin">
        <color rgb="FF4B0000"/>
      </left>
      <right/>
      <top style="thin">
        <color rgb="FF4B0000"/>
      </top>
      <bottom style="thin">
        <color rgb="FF4B0000"/>
      </bottom>
      <diagonal/>
    </border>
    <border diagonalUp="false" diagonalDown="false">
      <left/>
      <right style="thin">
        <color rgb="FF4B0000"/>
      </right>
      <top style="thin">
        <color rgb="FF4B0000"/>
      </top>
      <bottom style="thin">
        <color rgb="FF4B0000"/>
      </bottom>
      <diagonal/>
    </border>
    <border diagonalUp="false" diagonalDown="false">
      <left style="medium">
        <color rgb="FF4B0000"/>
      </left>
      <right/>
      <top style="thin">
        <color rgb="FF4B0000"/>
      </top>
      <bottom style="medium">
        <color rgb="FF4B0000"/>
      </bottom>
      <diagonal/>
    </border>
    <border diagonalUp="false" diagonalDown="false">
      <left/>
      <right/>
      <top style="thin">
        <color rgb="FF4B0000"/>
      </top>
      <bottom style="medium">
        <color rgb="FF4B0000"/>
      </bottom>
      <diagonal/>
    </border>
    <border diagonalUp="false" diagonalDown="false">
      <left style="medium">
        <color rgb="FF4B0000"/>
      </left>
      <right style="medium">
        <color rgb="FF4B0000"/>
      </right>
      <top style="medium">
        <color rgb="FF4B0000"/>
      </top>
      <bottom style="thin">
        <color rgb="FF4B0000"/>
      </bottom>
      <diagonal/>
    </border>
    <border diagonalUp="false" diagonalDown="false">
      <left/>
      <right/>
      <top style="medium">
        <color rgb="FF4B0000"/>
      </top>
      <bottom/>
      <diagonal/>
    </border>
    <border diagonalUp="false" diagonalDown="false">
      <left style="medium">
        <color rgb="FF4B0000"/>
      </left>
      <right/>
      <top style="medium">
        <color rgb="FF4B0000"/>
      </top>
      <bottom/>
      <diagonal/>
    </border>
    <border diagonalUp="false" diagonalDown="false">
      <left/>
      <right style="medium">
        <color rgb="FF4B0000"/>
      </right>
      <top style="medium">
        <color rgb="FF4B0000"/>
      </top>
      <bottom/>
      <diagonal/>
    </border>
    <border diagonalUp="false" diagonalDown="false">
      <left style="medium">
        <color rgb="FF4B0000"/>
      </left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4B0000"/>
      </left>
      <right/>
      <top style="thin"/>
      <bottom style="thin">
        <color rgb="FF4B0000"/>
      </bottom>
      <diagonal/>
    </border>
    <border diagonalUp="false" diagonalDown="false">
      <left/>
      <right/>
      <top style="thin"/>
      <bottom style="thin">
        <color rgb="FF4B0000"/>
      </bottom>
      <diagonal/>
    </border>
    <border diagonalUp="false" diagonalDown="false">
      <left/>
      <right style="medium"/>
      <top style="thin"/>
      <bottom style="thin">
        <color rgb="FF4B0000"/>
      </bottom>
      <diagonal/>
    </border>
    <border diagonalUp="false" diagonalDown="false">
      <left style="medium">
        <color rgb="FF4B0000"/>
      </left>
      <right/>
      <top style="thin">
        <color rgb="FF4B0000"/>
      </top>
      <bottom/>
      <diagonal/>
    </border>
    <border diagonalUp="false" diagonalDown="false">
      <left/>
      <right/>
      <top style="thin">
        <color rgb="FF4B0000"/>
      </top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>
        <color rgb="FF4B0000"/>
      </right>
      <top style="thin">
        <color rgb="FF4B0000"/>
      </top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>
        <color rgb="FF4B0000"/>
      </right>
      <top style="thin">
        <color rgb="FF4B0000"/>
      </top>
      <bottom style="medium">
        <color rgb="FF4B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2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0" borderId="2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Neutral" xfId="21"/>
    <cellStyle name="Excel Built-in Goo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4B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72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L19" activeCellId="0" sqref="L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7"/>
    <col collapsed="false" customWidth="true" hidden="false" outlineLevel="0" max="2" min="2" style="0" width="11.85"/>
    <col collapsed="false" customWidth="true" hidden="false" outlineLevel="0" max="3" min="3" style="0" width="21.29"/>
    <col collapsed="false" customWidth="true" hidden="false" outlineLevel="0" max="4" min="4" style="0" width="29.29"/>
    <col collapsed="false" customWidth="true" hidden="false" outlineLevel="0" max="5" min="5" style="0" width="13"/>
    <col collapsed="false" customWidth="true" hidden="false" outlineLevel="0" max="6" min="6" style="1" width="10.57"/>
    <col collapsed="false" customWidth="true" hidden="false" outlineLevel="0" max="7" min="7" style="1" width="13.86"/>
    <col collapsed="false" customWidth="true" hidden="false" outlineLevel="0" max="8" min="8" style="0" width="16.57"/>
    <col collapsed="false" customWidth="true" hidden="false" outlineLevel="0" max="9" min="9" style="1" width="12"/>
    <col collapsed="false" customWidth="true" hidden="false" outlineLevel="0" max="10" min="10" style="0" width="8.42"/>
    <col collapsed="false" customWidth="true" hidden="false" outlineLevel="0" max="11" min="11" style="1" width="11.43"/>
    <col collapsed="false" customWidth="true" hidden="false" outlineLevel="0" max="12" min="12" style="0" width="12.15"/>
    <col collapsed="false" customWidth="true" hidden="false" outlineLevel="0" max="14" min="14" style="0" width="4.42"/>
    <col collapsed="false" customWidth="true" hidden="false" outlineLevel="0" max="15" min="15" style="0" width="4.29"/>
    <col collapsed="false" customWidth="true" hidden="false" outlineLevel="0" max="16" min="16" style="0" width="4.14"/>
    <col collapsed="false" customWidth="true" hidden="false" outlineLevel="0" max="17" min="17" style="2" width="11.43"/>
    <col collapsed="false" customWidth="true" hidden="false" outlineLevel="0" max="18" min="18" style="0" width="9.14"/>
    <col collapsed="false" customWidth="true" hidden="false" outlineLevel="0" max="19" min="19" style="0" width="15"/>
    <col collapsed="false" customWidth="true" hidden="false" outlineLevel="0" max="20" min="20" style="0" width="16.29"/>
    <col collapsed="false" customWidth="true" hidden="false" outlineLevel="0" max="22" min="21" style="0" width="10.71"/>
    <col collapsed="false" customWidth="true" hidden="false" outlineLevel="0" max="23" min="23" style="0" width="13.42"/>
    <col collapsed="false" customWidth="true" hidden="false" outlineLevel="0" max="24" min="24" style="0" width="14.42"/>
    <col collapsed="false" customWidth="true" hidden="false" outlineLevel="0" max="25" min="25" style="0" width="27"/>
  </cols>
  <sheetData>
    <row r="1" customFormat="false" ht="15" hidden="false" customHeight="false" outlineLevel="0" collapsed="false">
      <c r="Z1" s="3" t="str">
        <f aca="false">H5</f>
        <v>Mauser</v>
      </c>
    </row>
    <row r="2" customFormat="false" ht="15.75" hidden="false" customHeight="true" outlineLevel="0" collapsed="false">
      <c r="F2" s="4"/>
      <c r="Z2" s="3" t="str">
        <f aca="false">H6</f>
        <v>Digikey</v>
      </c>
    </row>
    <row r="3" customFormat="false" ht="15" hidden="false" customHeight="false" outlineLevel="0" collapsed="false">
      <c r="C3" s="5" t="s">
        <v>0</v>
      </c>
      <c r="D3" s="6"/>
      <c r="E3" s="6"/>
      <c r="F3" s="6"/>
      <c r="G3" s="6"/>
      <c r="H3" s="6"/>
      <c r="I3" s="7"/>
      <c r="K3" s="8" t="s">
        <v>1</v>
      </c>
      <c r="L3" s="8"/>
      <c r="M3" s="8"/>
      <c r="N3" s="8"/>
      <c r="O3" s="8"/>
      <c r="P3" s="8"/>
      <c r="Q3" s="8"/>
      <c r="S3" s="9"/>
      <c r="T3" s="9"/>
      <c r="U3" s="9"/>
      <c r="V3" s="9"/>
      <c r="W3" s="9"/>
      <c r="X3" s="9"/>
      <c r="Z3" s="3" t="str">
        <f aca="false">H7</f>
        <v>Mauser</v>
      </c>
    </row>
    <row r="4" customFormat="false" ht="15" hidden="false" customHeight="false" outlineLevel="0" collapsed="false">
      <c r="C4" s="10" t="s">
        <v>2</v>
      </c>
      <c r="D4" s="11" t="s">
        <v>3</v>
      </c>
      <c r="E4" s="11" t="s">
        <v>4</v>
      </c>
      <c r="F4" s="12" t="s">
        <v>5</v>
      </c>
      <c r="G4" s="13" t="s">
        <v>6</v>
      </c>
      <c r="H4" s="11" t="s">
        <v>7</v>
      </c>
      <c r="I4" s="14"/>
      <c r="S4" s="9"/>
      <c r="T4" s="9"/>
      <c r="U4" s="9"/>
      <c r="V4" s="9"/>
      <c r="W4" s="9"/>
      <c r="X4" s="9"/>
      <c r="Z4" s="3" t="str">
        <f aca="false">H8</f>
        <v>Digikey</v>
      </c>
    </row>
    <row r="5" customFormat="false" ht="15" hidden="false" customHeight="false" outlineLevel="0" collapsed="false">
      <c r="C5" s="15" t="s">
        <v>8</v>
      </c>
      <c r="D5" s="16" t="s">
        <v>9</v>
      </c>
      <c r="E5" s="16" t="n">
        <v>1</v>
      </c>
      <c r="F5" s="17" t="n">
        <v>10.37</v>
      </c>
      <c r="G5" s="18" t="s">
        <v>10</v>
      </c>
      <c r="H5" s="16" t="s">
        <v>11</v>
      </c>
      <c r="I5" s="19"/>
      <c r="K5" s="20" t="s">
        <v>0</v>
      </c>
      <c r="L5" s="20"/>
      <c r="M5" s="20"/>
      <c r="N5" s="20"/>
      <c r="O5" s="20"/>
      <c r="P5" s="20"/>
      <c r="Q5" s="20"/>
      <c r="S5" s="21"/>
      <c r="T5" s="21"/>
      <c r="U5" s="21"/>
      <c r="V5" s="21"/>
      <c r="W5" s="21"/>
      <c r="X5" s="21"/>
      <c r="Z5" s="3" t="str">
        <f aca="false">H9</f>
        <v>Mauser</v>
      </c>
    </row>
    <row r="6" customFormat="false" ht="15" hidden="false" customHeight="false" outlineLevel="0" collapsed="false">
      <c r="C6" s="15" t="s">
        <v>12</v>
      </c>
      <c r="D6" s="16" t="s">
        <v>13</v>
      </c>
      <c r="E6" s="16" t="n">
        <v>1</v>
      </c>
      <c r="F6" s="17" t="n">
        <v>0</v>
      </c>
      <c r="G6" s="18" t="s">
        <v>14</v>
      </c>
      <c r="H6" s="16" t="s">
        <v>15</v>
      </c>
      <c r="I6" s="19"/>
      <c r="K6" s="22" t="s">
        <v>16</v>
      </c>
      <c r="L6" s="23" t="s">
        <v>17</v>
      </c>
      <c r="M6" s="23"/>
      <c r="N6" s="23"/>
      <c r="O6" s="23"/>
      <c r="P6" s="23"/>
      <c r="Q6" s="24" t="s">
        <v>18</v>
      </c>
      <c r="S6" s="25"/>
      <c r="T6" s="25"/>
      <c r="U6" s="25"/>
      <c r="V6" s="25"/>
      <c r="W6" s="25"/>
      <c r="X6" s="25"/>
      <c r="Z6" s="3" t="str">
        <f aca="false">H10</f>
        <v>HobbyKing</v>
      </c>
    </row>
    <row r="7" customFormat="false" ht="15" hidden="false" customHeight="false" outlineLevel="0" collapsed="false">
      <c r="C7" s="15" t="s">
        <v>19</v>
      </c>
      <c r="D7" s="16" t="s">
        <v>20</v>
      </c>
      <c r="E7" s="16" t="n">
        <v>1</v>
      </c>
      <c r="F7" s="17" t="n">
        <v>0</v>
      </c>
      <c r="G7" s="18" t="s">
        <v>14</v>
      </c>
      <c r="H7" s="16" t="s">
        <v>11</v>
      </c>
      <c r="I7" s="19"/>
      <c r="K7" s="26" t="n">
        <f aca="false">SUM(E5:E16)</f>
        <v>21</v>
      </c>
      <c r="L7" s="27" t="str">
        <f aca="false" t="array" ref="L7:L7">IF(COUNTA(H5:H16)=0,"---",INDEX(H5:H16,MATCH(MAX(COUNTIF(H5:H16,H5:H16)*(H5:H16&lt;&gt;"")),COUNTIF(H5:H16,H5:H16)*(H5:H16&lt;&gt;""),0)))</f>
        <v>Mauser</v>
      </c>
      <c r="M7" s="27"/>
      <c r="N7" s="27"/>
      <c r="O7" s="27"/>
      <c r="P7" s="27"/>
      <c r="Q7" s="28" t="n">
        <f aca="false">SUMPRODUCT(E5:E16,F5:F16)</f>
        <v>266.86</v>
      </c>
      <c r="X7" s="29"/>
      <c r="Z7" s="3" t="str">
        <f aca="false">H11</f>
        <v>Amazon</v>
      </c>
    </row>
    <row r="8" customFormat="false" ht="15" hidden="false" customHeight="false" outlineLevel="0" collapsed="false">
      <c r="C8" s="15" t="s">
        <v>21</v>
      </c>
      <c r="D8" s="16" t="s">
        <v>22</v>
      </c>
      <c r="E8" s="16" t="n">
        <v>1</v>
      </c>
      <c r="F8" s="17" t="n">
        <v>0</v>
      </c>
      <c r="G8" s="18" t="s">
        <v>14</v>
      </c>
      <c r="H8" s="16" t="s">
        <v>15</v>
      </c>
      <c r="I8" s="19"/>
      <c r="Z8" s="3" t="str">
        <f aca="false">H12</f>
        <v>Amazon</v>
      </c>
    </row>
    <row r="9" customFormat="false" ht="15" hidden="false" customHeight="false" outlineLevel="0" collapsed="false">
      <c r="C9" s="15" t="s">
        <v>23</v>
      </c>
      <c r="D9" s="16" t="s">
        <v>24</v>
      </c>
      <c r="E9" s="16" t="n">
        <v>2</v>
      </c>
      <c r="F9" s="17" t="n">
        <v>0</v>
      </c>
      <c r="G9" s="18" t="s">
        <v>14</v>
      </c>
      <c r="H9" s="16" t="s">
        <v>11</v>
      </c>
      <c r="I9" s="19"/>
      <c r="K9" s="20" t="s">
        <v>25</v>
      </c>
      <c r="L9" s="20"/>
      <c r="M9" s="20"/>
      <c r="N9" s="20"/>
      <c r="O9" s="20"/>
      <c r="P9" s="20"/>
      <c r="Q9" s="20"/>
      <c r="Z9" s="3" t="str">
        <f aca="false">H13</f>
        <v>Mauser</v>
      </c>
    </row>
    <row r="10" customFormat="false" ht="15" hidden="false" customHeight="false" outlineLevel="0" collapsed="false">
      <c r="C10" s="15" t="s">
        <v>26</v>
      </c>
      <c r="D10" s="16" t="s">
        <v>27</v>
      </c>
      <c r="E10" s="16" t="n">
        <v>4</v>
      </c>
      <c r="F10" s="17" t="n">
        <v>19.11</v>
      </c>
      <c r="G10" s="18" t="s">
        <v>10</v>
      </c>
      <c r="H10" s="16" t="s">
        <v>28</v>
      </c>
      <c r="I10" s="19"/>
      <c r="K10" s="22" t="s">
        <v>16</v>
      </c>
      <c r="L10" s="23" t="s">
        <v>17</v>
      </c>
      <c r="M10" s="23"/>
      <c r="N10" s="23"/>
      <c r="O10" s="23"/>
      <c r="P10" s="23"/>
      <c r="Q10" s="24" t="s">
        <v>18</v>
      </c>
      <c r="Z10" s="3" t="str">
        <f aca="false">H14</f>
        <v>Amazon</v>
      </c>
    </row>
    <row r="11" customFormat="false" ht="15" hidden="false" customHeight="false" outlineLevel="0" collapsed="false">
      <c r="C11" s="15" t="s">
        <v>29</v>
      </c>
      <c r="D11" s="16" t="s">
        <v>30</v>
      </c>
      <c r="E11" s="16" t="n">
        <v>4</v>
      </c>
      <c r="F11" s="17" t="n">
        <v>18.99</v>
      </c>
      <c r="G11" s="18" t="s">
        <v>10</v>
      </c>
      <c r="H11" s="16" t="s">
        <v>31</v>
      </c>
      <c r="I11" s="19"/>
      <c r="K11" s="26" t="n">
        <f aca="false">SUM(E20:E31)</f>
        <v>16</v>
      </c>
      <c r="L11" s="27" t="str">
        <f aca="false" t="array" ref="L11:L11">IF(COUNTA(H20:H31)=0,"---",INDEX(H20:H31,MATCH(MAX(COUNTIF(H20:H31,H20:H31)*(H20:H31&lt;&gt;"")),COUNTIF(H20:H31,H20:H31)*(H20:H31&lt;&gt;""),0)))</f>
        <v>Mauser</v>
      </c>
      <c r="M11" s="27"/>
      <c r="N11" s="27"/>
      <c r="O11" s="27"/>
      <c r="P11" s="27"/>
      <c r="Q11" s="28" t="n">
        <f aca="false">SUMPRODUCT(E20:E31,F20:F31)</f>
        <v>80.82</v>
      </c>
      <c r="Z11" s="3" t="str">
        <f aca="false">H15</f>
        <v>Amazon</v>
      </c>
    </row>
    <row r="12" customFormat="false" ht="15" hidden="false" customHeight="false" outlineLevel="0" collapsed="false">
      <c r="C12" s="15" t="s">
        <v>32</v>
      </c>
      <c r="D12" s="16" t="s">
        <v>33</v>
      </c>
      <c r="E12" s="16" t="n">
        <v>1</v>
      </c>
      <c r="F12" s="17" t="n">
        <v>28.96</v>
      </c>
      <c r="G12" s="18" t="s">
        <v>10</v>
      </c>
      <c r="H12" s="16" t="s">
        <v>31</v>
      </c>
      <c r="I12" s="19"/>
      <c r="Z12" s="3" t="str">
        <f aca="false">H16</f>
        <v>Casa</v>
      </c>
    </row>
    <row r="13" customFormat="false" ht="15" hidden="false" customHeight="false" outlineLevel="0" collapsed="false">
      <c r="C13" s="15" t="s">
        <v>34</v>
      </c>
      <c r="D13" s="16" t="s">
        <v>35</v>
      </c>
      <c r="E13" s="16" t="n">
        <v>1</v>
      </c>
      <c r="F13" s="30" t="n">
        <v>8.84</v>
      </c>
      <c r="G13" s="18" t="s">
        <v>10</v>
      </c>
      <c r="H13" s="16" t="s">
        <v>11</v>
      </c>
      <c r="I13" s="19"/>
      <c r="K13" s="20" t="s">
        <v>36</v>
      </c>
      <c r="L13" s="20"/>
      <c r="M13" s="20"/>
      <c r="N13" s="20"/>
      <c r="O13" s="20"/>
      <c r="P13" s="20"/>
      <c r="Q13" s="20"/>
      <c r="Z13" s="3" t="str">
        <f aca="false">H20</f>
        <v>Mauser</v>
      </c>
    </row>
    <row r="14" customFormat="false" ht="15" hidden="false" customHeight="false" outlineLevel="0" collapsed="false">
      <c r="C14" s="15" t="s">
        <v>37</v>
      </c>
      <c r="D14" s="16" t="s">
        <v>38</v>
      </c>
      <c r="E14" s="16" t="n">
        <v>1</v>
      </c>
      <c r="F14" s="17" t="n">
        <v>23.75</v>
      </c>
      <c r="G14" s="18" t="s">
        <v>10</v>
      </c>
      <c r="H14" s="16" t="s">
        <v>31</v>
      </c>
      <c r="I14" s="19"/>
      <c r="K14" s="22" t="s">
        <v>16</v>
      </c>
      <c r="L14" s="23" t="s">
        <v>17</v>
      </c>
      <c r="M14" s="23"/>
      <c r="N14" s="23"/>
      <c r="O14" s="23"/>
      <c r="P14" s="23"/>
      <c r="Q14" s="24" t="s">
        <v>18</v>
      </c>
      <c r="Z14" s="3" t="str">
        <f aca="false">H21</f>
        <v>Amazon</v>
      </c>
    </row>
    <row r="15" customFormat="false" ht="15" hidden="false" customHeight="false" outlineLevel="0" collapsed="false">
      <c r="C15" s="15" t="s">
        <v>39</v>
      </c>
      <c r="D15" s="16" t="s">
        <v>40</v>
      </c>
      <c r="E15" s="16" t="n">
        <v>2</v>
      </c>
      <c r="F15" s="17" t="n">
        <v>21.27</v>
      </c>
      <c r="G15" s="18" t="s">
        <v>10</v>
      </c>
      <c r="H15" s="16" t="s">
        <v>31</v>
      </c>
      <c r="I15" s="19"/>
      <c r="K15" s="26" t="n">
        <f aca="false">SUM(E5:E16,E20:E31)</f>
        <v>37</v>
      </c>
      <c r="L15" s="27" t="str">
        <f aca="false" t="array" ref="L15:L15">IF(COUNTA(Z1:Z26)=0,"---",INDEX(Z1:Z26,MATCH(MAX(COUNTIF(Z1:Z26,Z1:Z26)*(Z1:Z26&lt;&gt;"")),COUNTIF(Z1:Z26,Z1:Z26)*(Z1:Z26&lt;&gt;""),0)))</f>
        <v>Mauser</v>
      </c>
      <c r="M15" s="27"/>
      <c r="N15" s="27"/>
      <c r="O15" s="27"/>
      <c r="P15" s="27"/>
      <c r="Q15" s="28" t="n">
        <f aca="false">SUMPRODUCT(E5:E16,F5:F16)+SUMPRODUCT(E20:E31,F20:F31)</f>
        <v>347.68</v>
      </c>
      <c r="Z15" s="3" t="str">
        <f aca="false">H22</f>
        <v>Amazon</v>
      </c>
    </row>
    <row r="16" customFormat="false" ht="15.75" hidden="false" customHeight="true" outlineLevel="0" collapsed="false">
      <c r="C16" s="31" t="s">
        <v>41</v>
      </c>
      <c r="D16" s="32" t="s">
        <v>42</v>
      </c>
      <c r="E16" s="32" t="n">
        <v>2</v>
      </c>
      <c r="F16" s="33" t="n">
        <v>0</v>
      </c>
      <c r="G16" s="34" t="s">
        <v>14</v>
      </c>
      <c r="H16" s="32" t="s">
        <v>43</v>
      </c>
      <c r="I16" s="19"/>
      <c r="Z16" s="3" t="str">
        <f aca="false">H23</f>
        <v>Mauser</v>
      </c>
    </row>
    <row r="17" customFormat="false" ht="15.75" hidden="false" customHeight="true" outlineLevel="0" collapsed="false">
      <c r="K17" s="20" t="s">
        <v>44</v>
      </c>
      <c r="L17" s="20"/>
      <c r="M17" s="20"/>
      <c r="N17" s="20"/>
      <c r="O17" s="20"/>
      <c r="P17" s="20"/>
      <c r="Q17" s="20"/>
      <c r="Z17" s="3" t="str">
        <f aca="false">H24</f>
        <v>Escola</v>
      </c>
    </row>
    <row r="18" customFormat="false" ht="15" hidden="false" customHeight="false" outlineLevel="0" collapsed="false">
      <c r="C18" s="35" t="s">
        <v>25</v>
      </c>
      <c r="D18" s="35"/>
      <c r="E18" s="35"/>
      <c r="F18" s="35"/>
      <c r="G18" s="35"/>
      <c r="H18" s="35"/>
      <c r="I18" s="7"/>
      <c r="K18" s="22" t="s">
        <v>16</v>
      </c>
      <c r="L18" s="23" t="s">
        <v>17</v>
      </c>
      <c r="M18" s="23"/>
      <c r="N18" s="23"/>
      <c r="O18" s="23"/>
      <c r="P18" s="23"/>
      <c r="Q18" s="24" t="s">
        <v>18</v>
      </c>
      <c r="Z18" s="3" t="str">
        <f aca="false">H25</f>
        <v>Escola</v>
      </c>
    </row>
    <row r="19" customFormat="false" ht="15" hidden="false" customHeight="false" outlineLevel="0" collapsed="false">
      <c r="C19" s="10" t="s">
        <v>2</v>
      </c>
      <c r="D19" s="11" t="s">
        <v>3</v>
      </c>
      <c r="E19" s="11" t="s">
        <v>4</v>
      </c>
      <c r="F19" s="12" t="s">
        <v>5</v>
      </c>
      <c r="G19" s="13"/>
      <c r="H19" s="11" t="s">
        <v>7</v>
      </c>
      <c r="I19" s="14"/>
      <c r="K19" s="26" t="n">
        <f aca="false">SUM(E5:E16,E20:E31,E34:E43)</f>
        <v>58</v>
      </c>
      <c r="L19" s="27" t="str">
        <f aca="false" t="array" ref="L19:L19">IF(COUNTA(Z1:Z34)=0,"---",INDEX(Z1:Z34,MATCH(MAX(COUNTIF(Z1:Z34,Z1:Z34)*(Z1:Z34&lt;&gt;"")),COUNTIF(Z1:Z34,Z1:Z34)*(Z1:Z34&lt;&gt;""),0)))</f>
        <v>Mauser</v>
      </c>
      <c r="M19" s="27"/>
      <c r="N19" s="27"/>
      <c r="O19" s="27"/>
      <c r="P19" s="27"/>
      <c r="Q19" s="28" t="n">
        <f aca="false">SUMPRODUCT(E5:E16,F5:F16)+SUMPRODUCT(E20:E31,F20:F31)+SUMPRODUCT(E34:E43,F34:F43)</f>
        <v>495.37</v>
      </c>
      <c r="Z19" s="3" t="str">
        <f aca="false">H26</f>
        <v>Escola</v>
      </c>
    </row>
    <row r="20" customFormat="false" ht="15" hidden="false" customHeight="false" outlineLevel="0" collapsed="false">
      <c r="C20" s="15" t="s">
        <v>8</v>
      </c>
      <c r="D20" s="16" t="s">
        <v>9</v>
      </c>
      <c r="E20" s="16" t="n">
        <v>1</v>
      </c>
      <c r="F20" s="17" t="n">
        <v>10.37</v>
      </c>
      <c r="G20" s="18" t="s">
        <v>10</v>
      </c>
      <c r="H20" s="16" t="s">
        <v>11</v>
      </c>
      <c r="I20" s="19"/>
      <c r="Z20" s="3" t="str">
        <f aca="false">H27</f>
        <v>Mauser</v>
      </c>
    </row>
    <row r="21" customFormat="false" ht="15" hidden="false" customHeight="false" outlineLevel="0" collapsed="false">
      <c r="C21" s="15" t="s">
        <v>45</v>
      </c>
      <c r="D21" s="16" t="s">
        <v>46</v>
      </c>
      <c r="E21" s="16" t="n">
        <v>1</v>
      </c>
      <c r="F21" s="17" t="n">
        <v>25.34</v>
      </c>
      <c r="G21" s="18" t="s">
        <v>10</v>
      </c>
      <c r="H21" s="16" t="s">
        <v>31</v>
      </c>
      <c r="I21" s="19"/>
      <c r="K21" s="20" t="s">
        <v>47</v>
      </c>
      <c r="L21" s="20"/>
      <c r="M21" s="20"/>
      <c r="N21" s="20"/>
      <c r="O21" s="20"/>
      <c r="P21" s="20"/>
      <c r="Q21" s="20"/>
      <c r="Z21" s="3" t="str">
        <f aca="false">H28</f>
        <v>Amazon</v>
      </c>
    </row>
    <row r="22" customFormat="false" ht="15" hidden="false" customHeight="false" outlineLevel="0" collapsed="false">
      <c r="C22" s="15" t="s">
        <v>32</v>
      </c>
      <c r="D22" s="16" t="s">
        <v>33</v>
      </c>
      <c r="E22" s="16" t="n">
        <v>1</v>
      </c>
      <c r="F22" s="17" t="n">
        <v>28.96</v>
      </c>
      <c r="G22" s="18" t="s">
        <v>10</v>
      </c>
      <c r="H22" s="16" t="s">
        <v>31</v>
      </c>
      <c r="I22" s="19"/>
      <c r="K22" s="22" t="s">
        <v>16</v>
      </c>
      <c r="L22" s="23" t="s">
        <v>17</v>
      </c>
      <c r="M22" s="23"/>
      <c r="N22" s="23"/>
      <c r="O22" s="23"/>
      <c r="P22" s="23"/>
      <c r="Q22" s="24" t="s">
        <v>18</v>
      </c>
      <c r="Z22" s="3" t="str">
        <f aca="false">H29</f>
        <v>Mauser</v>
      </c>
    </row>
    <row r="23" customFormat="false" ht="15" hidden="false" customHeight="true" outlineLevel="0" collapsed="false">
      <c r="C23" s="15" t="s">
        <v>48</v>
      </c>
      <c r="D23" s="16" t="s">
        <v>49</v>
      </c>
      <c r="E23" s="16" t="n">
        <v>2</v>
      </c>
      <c r="F23" s="17" t="n">
        <v>0</v>
      </c>
      <c r="G23" s="18" t="s">
        <v>14</v>
      </c>
      <c r="H23" s="16" t="s">
        <v>11</v>
      </c>
      <c r="I23" s="19"/>
      <c r="K23" s="26" t="n">
        <f aca="false">SUM(E49)</f>
        <v>2</v>
      </c>
      <c r="L23" s="36" t="str">
        <f aca="false">"Mauser" &amp; T(N("Eu não preciso de uma conta inteira para isto."))</f>
        <v>Mauser</v>
      </c>
      <c r="M23" s="36"/>
      <c r="N23" s="36"/>
      <c r="O23" s="36"/>
      <c r="P23" s="36"/>
      <c r="Q23" s="28" t="n">
        <f aca="false">F49 + N("Nem aqui...")</f>
        <v>25</v>
      </c>
      <c r="Z23" s="3" t="str">
        <f aca="false">H30</f>
        <v>Casa</v>
      </c>
    </row>
    <row r="24" customFormat="false" ht="15" hidden="false" customHeight="false" outlineLevel="0" collapsed="false">
      <c r="C24" s="15" t="s">
        <v>50</v>
      </c>
      <c r="D24" s="16" t="s">
        <v>51</v>
      </c>
      <c r="E24" s="16" t="n">
        <v>2</v>
      </c>
      <c r="F24" s="17" t="n">
        <v>0</v>
      </c>
      <c r="G24" s="18" t="s">
        <v>14</v>
      </c>
      <c r="H24" s="16" t="s">
        <v>52</v>
      </c>
      <c r="I24" s="19"/>
      <c r="Z24" s="3" t="n">
        <f aca="false">H31</f>
        <v>0</v>
      </c>
    </row>
    <row r="25" customFormat="false" ht="15" hidden="false" customHeight="false" outlineLevel="0" collapsed="false">
      <c r="C25" s="15" t="s">
        <v>53</v>
      </c>
      <c r="D25" s="16" t="s">
        <v>54</v>
      </c>
      <c r="E25" s="16" t="n">
        <v>2</v>
      </c>
      <c r="F25" s="17" t="n">
        <v>0</v>
      </c>
      <c r="G25" s="18" t="s">
        <v>14</v>
      </c>
      <c r="H25" s="16" t="s">
        <v>52</v>
      </c>
      <c r="I25" s="19"/>
      <c r="K25" s="2" t="s">
        <v>55</v>
      </c>
      <c r="Z25" s="3" t="str">
        <f aca="false">""</f>
        <v/>
      </c>
    </row>
    <row r="26" customFormat="false" ht="15" hidden="false" customHeight="false" outlineLevel="0" collapsed="false">
      <c r="C26" s="15" t="s">
        <v>56</v>
      </c>
      <c r="D26" s="16" t="s">
        <v>57</v>
      </c>
      <c r="E26" s="16" t="n">
        <v>1</v>
      </c>
      <c r="F26" s="17" t="n">
        <v>0</v>
      </c>
      <c r="G26" s="18" t="s">
        <v>14</v>
      </c>
      <c r="H26" s="16" t="s">
        <v>52</v>
      </c>
      <c r="I26" s="19"/>
      <c r="K26" s="37" t="s">
        <v>58</v>
      </c>
      <c r="L26" s="38"/>
      <c r="M26" s="38"/>
      <c r="N26" s="38"/>
      <c r="O26" s="38"/>
      <c r="P26" s="38"/>
      <c r="Q26" s="38"/>
      <c r="Z26" s="3" t="str">
        <f aca="false">""</f>
        <v/>
      </c>
    </row>
    <row r="27" customFormat="false" ht="15" hidden="false" customHeight="false" outlineLevel="0" collapsed="false">
      <c r="C27" s="15" t="s">
        <v>59</v>
      </c>
      <c r="D27" s="16" t="s">
        <v>24</v>
      </c>
      <c r="E27" s="16" t="n">
        <v>2</v>
      </c>
      <c r="F27" s="17" t="n">
        <v>0</v>
      </c>
      <c r="G27" s="18" t="s">
        <v>14</v>
      </c>
      <c r="H27" s="16" t="s">
        <v>11</v>
      </c>
      <c r="I27" s="19"/>
      <c r="K27" s="39"/>
      <c r="L27" s="40"/>
      <c r="M27" s="40"/>
      <c r="N27" s="40"/>
      <c r="O27" s="40"/>
      <c r="P27" s="40"/>
      <c r="Q27" s="41"/>
      <c r="Z27" s="3" t="str">
        <f aca="false">H34</f>
        <v>Amazon</v>
      </c>
    </row>
    <row r="28" customFormat="false" ht="15" hidden="false" customHeight="false" outlineLevel="0" collapsed="false">
      <c r="C28" s="15" t="s">
        <v>60</v>
      </c>
      <c r="D28" s="16" t="s">
        <v>61</v>
      </c>
      <c r="E28" s="16" t="n">
        <v>1</v>
      </c>
      <c r="F28" s="17" t="n">
        <v>7.31</v>
      </c>
      <c r="G28" s="18" t="s">
        <v>10</v>
      </c>
      <c r="H28" s="16" t="s">
        <v>31</v>
      </c>
      <c r="I28" s="19"/>
      <c r="K28" s="2" t="s">
        <v>62</v>
      </c>
      <c r="Q28" s="42"/>
      <c r="Z28" s="3" t="str">
        <f aca="false">H35</f>
        <v>Amazon</v>
      </c>
    </row>
    <row r="29" customFormat="false" ht="15" hidden="false" customHeight="false" outlineLevel="0" collapsed="false">
      <c r="C29" s="15" t="s">
        <v>34</v>
      </c>
      <c r="D29" s="16" t="s">
        <v>35</v>
      </c>
      <c r="E29" s="16" t="n">
        <v>1</v>
      </c>
      <c r="F29" s="30" t="n">
        <v>8.84</v>
      </c>
      <c r="G29" s="18" t="s">
        <v>10</v>
      </c>
      <c r="H29" s="16" t="s">
        <v>11</v>
      </c>
      <c r="I29" s="19"/>
      <c r="Q29" s="29"/>
      <c r="Z29" s="3" t="str">
        <f aca="false">H36</f>
        <v>Leroy Merlin</v>
      </c>
    </row>
    <row r="30" customFormat="false" ht="15.75" hidden="false" customHeight="true" outlineLevel="0" collapsed="false">
      <c r="C30" s="31" t="s">
        <v>41</v>
      </c>
      <c r="D30" s="32" t="s">
        <v>42</v>
      </c>
      <c r="E30" s="32" t="n">
        <v>2</v>
      </c>
      <c r="F30" s="33" t="n">
        <v>0</v>
      </c>
      <c r="G30" s="34" t="s">
        <v>14</v>
      </c>
      <c r="H30" s="32" t="s">
        <v>43</v>
      </c>
      <c r="I30" s="19"/>
      <c r="Z30" s="3" t="str">
        <f aca="false">H37</f>
        <v>Mauser</v>
      </c>
    </row>
    <row r="31" customFormat="false" ht="15.75" hidden="false" customHeight="true" outlineLevel="0" collapsed="false">
      <c r="C31" s="43"/>
      <c r="D31" s="43"/>
      <c r="E31" s="43"/>
      <c r="F31" s="44"/>
      <c r="G31" s="45"/>
      <c r="H31" s="43"/>
      <c r="Z31" s="3" t="str">
        <f aca="false">H38</f>
        <v>Várias</v>
      </c>
    </row>
    <row r="32" customFormat="false" ht="15" hidden="false" customHeight="false" outlineLevel="0" collapsed="false">
      <c r="C32" s="46" t="s">
        <v>63</v>
      </c>
      <c r="D32" s="47"/>
      <c r="E32" s="47"/>
      <c r="F32" s="47"/>
      <c r="G32" s="47"/>
      <c r="H32" s="48"/>
      <c r="Z32" s="3" t="str">
        <f aca="false">H39</f>
        <v>Curto Circuito</v>
      </c>
    </row>
    <row r="33" customFormat="false" ht="15" hidden="false" customHeight="false" outlineLevel="0" collapsed="false">
      <c r="C33" s="49" t="s">
        <v>2</v>
      </c>
      <c r="D33" s="50" t="s">
        <v>3</v>
      </c>
      <c r="E33" s="50" t="s">
        <v>4</v>
      </c>
      <c r="F33" s="51" t="s">
        <v>5</v>
      </c>
      <c r="G33" s="52"/>
      <c r="H33" s="50" t="s">
        <v>7</v>
      </c>
      <c r="Z33" s="3" t="str">
        <f aca="false">H40</f>
        <v>Farmácia</v>
      </c>
    </row>
    <row r="34" customFormat="false" ht="15" hidden="false" customHeight="false" outlineLevel="0" collapsed="false">
      <c r="C34" s="53" t="s">
        <v>64</v>
      </c>
      <c r="D34" s="54" t="s">
        <v>65</v>
      </c>
      <c r="E34" s="54" t="n">
        <v>1</v>
      </c>
      <c r="F34" s="55" t="n">
        <v>45.99</v>
      </c>
      <c r="G34" s="56" t="s">
        <v>10</v>
      </c>
      <c r="H34" s="57" t="s">
        <v>31</v>
      </c>
      <c r="Z34" s="3" t="str">
        <f aca="false">H41</f>
        <v>Leroy Merlin</v>
      </c>
    </row>
    <row r="35" customFormat="false" ht="15" hidden="false" customHeight="false" outlineLevel="0" collapsed="false">
      <c r="C35" s="15" t="s">
        <v>66</v>
      </c>
      <c r="D35" s="16" t="s">
        <v>67</v>
      </c>
      <c r="E35" s="16" t="n">
        <v>1</v>
      </c>
      <c r="F35" s="17" t="n">
        <v>21.28</v>
      </c>
      <c r="G35" s="18" t="s">
        <v>10</v>
      </c>
      <c r="H35" s="16" t="s">
        <v>31</v>
      </c>
      <c r="I35" s="7"/>
      <c r="Z35" s="3" t="n">
        <f aca="false">H50</f>
        <v>0</v>
      </c>
    </row>
    <row r="36" customFormat="false" ht="15" hidden="false" customHeight="false" outlineLevel="0" collapsed="false">
      <c r="C36" s="15" t="s">
        <v>68</v>
      </c>
      <c r="D36" s="16" t="s">
        <v>69</v>
      </c>
      <c r="E36" s="16" t="n">
        <v>2</v>
      </c>
      <c r="F36" s="17" t="n">
        <v>2.8</v>
      </c>
      <c r="G36" s="18" t="s">
        <v>10</v>
      </c>
      <c r="H36" s="16" t="s">
        <v>70</v>
      </c>
      <c r="I36" s="14"/>
      <c r="Z36" s="3" t="n">
        <f aca="false">H51</f>
        <v>0</v>
      </c>
    </row>
    <row r="37" customFormat="false" ht="15" hidden="false" customHeight="false" outlineLevel="0" collapsed="false">
      <c r="C37" s="15" t="s">
        <v>71</v>
      </c>
      <c r="D37" s="16" t="s">
        <v>72</v>
      </c>
      <c r="E37" s="16" t="n">
        <v>4</v>
      </c>
      <c r="F37" s="17" t="n">
        <v>0.73</v>
      </c>
      <c r="G37" s="18" t="s">
        <v>10</v>
      </c>
      <c r="H37" s="16" t="s">
        <v>11</v>
      </c>
      <c r="I37" s="19"/>
      <c r="Z37" s="3" t="n">
        <f aca="false">H52</f>
        <v>0</v>
      </c>
    </row>
    <row r="38" customFormat="false" ht="15" hidden="false" customHeight="false" outlineLevel="0" collapsed="false">
      <c r="C38" s="15" t="s">
        <v>73</v>
      </c>
      <c r="D38" s="16" t="s">
        <v>74</v>
      </c>
      <c r="E38" s="16" t="n">
        <v>8</v>
      </c>
      <c r="F38" s="17" t="n">
        <v>3.5</v>
      </c>
      <c r="G38" s="18" t="s">
        <v>75</v>
      </c>
      <c r="H38" s="16" t="s">
        <v>76</v>
      </c>
      <c r="I38" s="19"/>
      <c r="Z38" s="3" t="str">
        <f aca="false">""</f>
        <v/>
      </c>
    </row>
    <row r="39" customFormat="false" ht="15" hidden="false" customHeight="false" outlineLevel="0" collapsed="false">
      <c r="C39" s="15" t="s">
        <v>77</v>
      </c>
      <c r="D39" s="16" t="s">
        <v>78</v>
      </c>
      <c r="E39" s="16" t="n">
        <v>1</v>
      </c>
      <c r="F39" s="17" t="n">
        <v>35.9</v>
      </c>
      <c r="G39" s="18" t="s">
        <v>79</v>
      </c>
      <c r="H39" s="16" t="s">
        <v>80</v>
      </c>
      <c r="I39" s="19"/>
      <c r="Z39" s="3" t="n">
        <f aca="false">H54</f>
        <v>0</v>
      </c>
    </row>
    <row r="40" customFormat="false" ht="15" hidden="false" customHeight="false" outlineLevel="0" collapsed="false">
      <c r="C40" s="15" t="s">
        <v>81</v>
      </c>
      <c r="D40" s="16" t="s">
        <v>82</v>
      </c>
      <c r="E40" s="16" t="n">
        <v>1</v>
      </c>
      <c r="F40" s="17" t="n">
        <v>0</v>
      </c>
      <c r="G40" s="18" t="s">
        <v>10</v>
      </c>
      <c r="H40" s="16" t="s">
        <v>83</v>
      </c>
      <c r="I40" s="19"/>
      <c r="Z40" s="3" t="n">
        <f aca="false">H55</f>
        <v>0</v>
      </c>
    </row>
    <row r="41" customFormat="false" ht="15" hidden="false" customHeight="false" outlineLevel="0" collapsed="false">
      <c r="C41" s="15" t="s">
        <v>84</v>
      </c>
      <c r="D41" s="16" t="s">
        <v>85</v>
      </c>
      <c r="E41" s="16" t="n">
        <v>1</v>
      </c>
      <c r="F41" s="17" t="n">
        <v>0</v>
      </c>
      <c r="G41" s="18" t="s">
        <v>10</v>
      </c>
      <c r="H41" s="16" t="s">
        <v>70</v>
      </c>
      <c r="I41" s="19"/>
      <c r="Z41" s="3" t="n">
        <f aca="false">H56</f>
        <v>0</v>
      </c>
    </row>
    <row r="42" customFormat="false" ht="15" hidden="false" customHeight="false" outlineLevel="0" collapsed="false">
      <c r="C42" s="58" t="s">
        <v>86</v>
      </c>
      <c r="D42" s="59" t="s">
        <v>87</v>
      </c>
      <c r="E42" s="59" t="n">
        <v>1</v>
      </c>
      <c r="F42" s="60" t="n">
        <v>0</v>
      </c>
      <c r="G42" s="61" t="s">
        <v>14</v>
      </c>
      <c r="H42" s="59" t="s">
        <v>43</v>
      </c>
      <c r="I42" s="19"/>
      <c r="Z42" s="3" t="str">
        <f aca="false">""</f>
        <v/>
      </c>
    </row>
    <row r="43" customFormat="false" ht="15" hidden="false" customHeight="false" outlineLevel="0" collapsed="false">
      <c r="C43" s="62" t="s">
        <v>88</v>
      </c>
      <c r="D43" s="63" t="s">
        <v>89</v>
      </c>
      <c r="E43" s="63" t="n">
        <v>1</v>
      </c>
      <c r="F43" s="64" t="n">
        <v>8</v>
      </c>
      <c r="G43" s="65" t="s">
        <v>10</v>
      </c>
      <c r="H43" s="66" t="s">
        <v>70</v>
      </c>
      <c r="I43" s="19"/>
      <c r="Z43" s="3" t="str">
        <f aca="false">""</f>
        <v/>
      </c>
    </row>
    <row r="44" customFormat="false" ht="15" hidden="false" customHeight="false" outlineLevel="0" collapsed="false">
      <c r="C44" s="15" t="s">
        <v>90</v>
      </c>
      <c r="D44" s="16" t="s">
        <v>91</v>
      </c>
      <c r="E44" s="16"/>
      <c r="F44" s="17" t="n">
        <v>0</v>
      </c>
      <c r="G44" s="18" t="s">
        <v>14</v>
      </c>
      <c r="H44" s="16" t="s">
        <v>52</v>
      </c>
      <c r="I44" s="19"/>
      <c r="Z44" s="3" t="str">
        <f aca="false">""</f>
        <v/>
      </c>
    </row>
    <row r="45" customFormat="false" ht="15" hidden="false" customHeight="false" outlineLevel="0" collapsed="false">
      <c r="C45" s="15" t="s">
        <v>92</v>
      </c>
      <c r="D45" s="16" t="s">
        <v>93</v>
      </c>
      <c r="E45" s="16" t="n">
        <v>1</v>
      </c>
      <c r="F45" s="17" t="n">
        <v>0</v>
      </c>
      <c r="G45" s="18" t="s">
        <v>14</v>
      </c>
      <c r="H45" s="16" t="s">
        <v>52</v>
      </c>
      <c r="I45" s="19"/>
      <c r="Z45" s="3" t="str">
        <f aca="false">""</f>
        <v/>
      </c>
    </row>
    <row r="46" customFormat="false" ht="15.75" hidden="false" customHeight="true" outlineLevel="0" collapsed="false">
      <c r="C46" s="58" t="s">
        <v>94</v>
      </c>
      <c r="D46" s="59" t="s">
        <v>95</v>
      </c>
      <c r="E46" s="59" t="n">
        <v>1</v>
      </c>
      <c r="F46" s="60" t="n">
        <v>7.68</v>
      </c>
      <c r="G46" s="61" t="s">
        <v>10</v>
      </c>
      <c r="H46" s="67" t="s">
        <v>31</v>
      </c>
      <c r="Z46" s="3" t="str">
        <f aca="false">""</f>
        <v/>
      </c>
    </row>
    <row r="47" customFormat="false" ht="15.75" hidden="false" customHeight="true" outlineLevel="0" collapsed="false">
      <c r="C47" s="68"/>
      <c r="D47" s="68"/>
      <c r="E47" s="68"/>
      <c r="F47" s="69"/>
      <c r="G47" s="69"/>
      <c r="H47" s="68"/>
      <c r="Z47" s="3" t="n">
        <f aca="false">H62</f>
        <v>0</v>
      </c>
    </row>
    <row r="48" customFormat="false" ht="15" hidden="false" customHeight="false" outlineLevel="0" collapsed="false">
      <c r="C48" s="35" t="s">
        <v>96</v>
      </c>
      <c r="D48" s="35"/>
      <c r="E48" s="35"/>
      <c r="F48" s="35"/>
      <c r="G48" s="35"/>
      <c r="H48" s="35"/>
      <c r="I48" s="41"/>
      <c r="Z48" s="3" t="n">
        <f aca="false">H63</f>
        <v>0</v>
      </c>
    </row>
    <row r="49" customFormat="false" ht="15.75" hidden="false" customHeight="true" outlineLevel="0" collapsed="false">
      <c r="B49" s="41"/>
      <c r="C49" s="31" t="s">
        <v>97</v>
      </c>
      <c r="D49" s="32" t="s">
        <v>98</v>
      </c>
      <c r="E49" s="32" t="n">
        <v>2</v>
      </c>
      <c r="F49" s="33" t="n">
        <v>25</v>
      </c>
      <c r="G49" s="34" t="s">
        <v>79</v>
      </c>
      <c r="H49" s="70" t="s">
        <v>11</v>
      </c>
      <c r="I49" s="39"/>
      <c r="Z49" s="3" t="n">
        <f aca="false">H64</f>
        <v>0</v>
      </c>
    </row>
    <row r="50" customFormat="false" ht="15" hidden="false" customHeight="false" outlineLevel="0" collapsed="false">
      <c r="F50" s="4"/>
      <c r="Z50" s="3" t="n">
        <f aca="false">H68</f>
        <v>0</v>
      </c>
    </row>
    <row r="51" customFormat="false" ht="15" hidden="false" customHeight="false" outlineLevel="0" collapsed="false">
      <c r="C51" s="0" t="s">
        <v>99</v>
      </c>
      <c r="F51" s="4"/>
      <c r="Z51" s="3" t="n">
        <f aca="false">H69</f>
        <v>0</v>
      </c>
    </row>
    <row r="52" customFormat="false" ht="15" hidden="false" customHeight="false" outlineLevel="0" collapsed="false">
      <c r="C52" s="0" t="s">
        <v>100</v>
      </c>
      <c r="F52" s="4"/>
    </row>
    <row r="54" customFormat="false" ht="15" hidden="false" customHeight="false" outlineLevel="0" collapsed="false">
      <c r="F54" s="4"/>
    </row>
    <row r="55" customFormat="false" ht="15" hidden="false" customHeight="false" outlineLevel="0" collapsed="false">
      <c r="F55" s="4"/>
      <c r="H55" s="71"/>
    </row>
    <row r="56" customFormat="false" ht="15" hidden="false" customHeight="false" outlineLevel="0" collapsed="false">
      <c r="F56" s="4"/>
    </row>
    <row r="62" customFormat="false" ht="15" hidden="false" customHeight="false" outlineLevel="0" collapsed="false">
      <c r="F62" s="4"/>
    </row>
    <row r="63" customFormat="false" ht="15" hidden="false" customHeight="false" outlineLevel="0" collapsed="false">
      <c r="F63" s="4"/>
    </row>
    <row r="64" customFormat="false" ht="15" hidden="false" customHeight="false" outlineLevel="0" collapsed="false">
      <c r="F64" s="4"/>
    </row>
    <row r="66" customFormat="false" ht="15" hidden="false" customHeight="false" outlineLevel="0" collapsed="false">
      <c r="C66" s="9"/>
      <c r="D66" s="9"/>
      <c r="E66" s="9"/>
      <c r="F66" s="9"/>
      <c r="G66" s="9"/>
      <c r="H66" s="9"/>
    </row>
    <row r="67" customFormat="false" ht="15" hidden="false" customHeight="false" outlineLevel="0" collapsed="false">
      <c r="C67" s="41"/>
      <c r="D67" s="41"/>
      <c r="E67" s="41"/>
      <c r="F67" s="72"/>
      <c r="G67" s="39"/>
      <c r="H67" s="41"/>
    </row>
    <row r="68" customFormat="false" ht="15" hidden="false" customHeight="false" outlineLevel="0" collapsed="false">
      <c r="F68" s="4"/>
    </row>
    <row r="69" customFormat="false" ht="15" hidden="false" customHeight="false" outlineLevel="0" collapsed="false">
      <c r="F69" s="4"/>
    </row>
    <row r="70" customFormat="false" ht="15" hidden="false" customHeight="false" outlineLevel="0" collapsed="false">
      <c r="F70" s="4"/>
    </row>
    <row r="71" customFormat="false" ht="15" hidden="false" customHeight="false" outlineLevel="0" collapsed="false">
      <c r="F71" s="4"/>
    </row>
    <row r="72" customFormat="false" ht="15" hidden="false" customHeight="false" outlineLevel="0" collapsed="false">
      <c r="F72" s="4"/>
    </row>
  </sheetData>
  <mergeCells count="13">
    <mergeCell ref="K3:Q3"/>
    <mergeCell ref="K5:Q5"/>
    <mergeCell ref="L7:P7"/>
    <mergeCell ref="K9:Q9"/>
    <mergeCell ref="L11:P11"/>
    <mergeCell ref="K13:Q13"/>
    <mergeCell ref="L15:P15"/>
    <mergeCell ref="K17:Q17"/>
    <mergeCell ref="C18:H18"/>
    <mergeCell ref="L19:P19"/>
    <mergeCell ref="K21:Q21"/>
    <mergeCell ref="L23:P23"/>
    <mergeCell ref="C48:H48"/>
  </mergeCells>
  <dataValidations count="1">
    <dataValidation allowBlank="true" errorStyle="stop" operator="between" showDropDown="false" showErrorMessage="true" showInputMessage="true" sqref="G5:G16 G20:G31 G34:G46 G49:G52 G54:G56 G62:G64 G68:G72" type="list">
      <formula1>"TIAGO,GONÇALO,AMBOS,OUTRO"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29" activeCellId="0" sqref="H29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.29"/>
    <col collapsed="false" customWidth="true" hidden="false" outlineLevel="0" max="3" min="3" style="0" width="38.71"/>
    <col collapsed="false" customWidth="true" hidden="false" outlineLevel="0" max="4" min="4" style="0" width="12.71"/>
    <col collapsed="false" customWidth="true" hidden="false" outlineLevel="0" max="7" min="7" style="0" width="10.29"/>
    <col collapsed="false" customWidth="true" hidden="false" outlineLevel="0" max="8" min="8" style="0" width="38.71"/>
    <col collapsed="false" customWidth="true" hidden="false" outlineLevel="0" max="9" min="9" style="0" width="12.71"/>
  </cols>
  <sheetData>
    <row r="1" customFormat="false" ht="15.75" hidden="false" customHeight="true" outlineLevel="0" collapsed="false"/>
    <row r="2" customFormat="false" ht="16.5" hidden="false" customHeight="true" outlineLevel="0" collapsed="false">
      <c r="B2" s="73" t="s">
        <v>101</v>
      </c>
      <c r="C2" s="73"/>
      <c r="D2" s="73"/>
      <c r="E2" s="74" t="s">
        <v>102</v>
      </c>
      <c r="G2" s="73" t="s">
        <v>103</v>
      </c>
      <c r="H2" s="73"/>
      <c r="I2" s="73"/>
      <c r="J2" s="74" t="s">
        <v>102</v>
      </c>
    </row>
    <row r="3" customFormat="false" ht="15.75" hidden="false" customHeight="true" outlineLevel="0" collapsed="false">
      <c r="B3" s="75" t="s">
        <v>104</v>
      </c>
      <c r="C3" s="75" t="s">
        <v>105</v>
      </c>
      <c r="D3" s="75" t="s">
        <v>106</v>
      </c>
      <c r="E3" s="74"/>
      <c r="G3" s="75" t="s">
        <v>104</v>
      </c>
      <c r="H3" s="75" t="s">
        <v>105</v>
      </c>
      <c r="I3" s="75" t="s">
        <v>106</v>
      </c>
      <c r="J3" s="74"/>
    </row>
    <row r="4" customFormat="false" ht="15.75" hidden="false" customHeight="true" outlineLevel="0" collapsed="false">
      <c r="B4" s="76" t="n">
        <v>1</v>
      </c>
      <c r="C4" s="77" t="s">
        <v>107</v>
      </c>
      <c r="D4" s="78" t="n">
        <v>45901</v>
      </c>
      <c r="E4" s="79" t="s">
        <v>108</v>
      </c>
      <c r="G4" s="76" t="n">
        <v>1</v>
      </c>
      <c r="H4" s="77" t="s">
        <v>107</v>
      </c>
      <c r="I4" s="78" t="n">
        <v>45901</v>
      </c>
      <c r="J4" s="80" t="s">
        <v>108</v>
      </c>
    </row>
    <row r="5" customFormat="false" ht="15.75" hidden="false" customHeight="true" outlineLevel="0" collapsed="false">
      <c r="B5" s="76" t="n">
        <v>2</v>
      </c>
      <c r="C5" s="81" t="s">
        <v>109</v>
      </c>
      <c r="D5" s="82" t="n">
        <v>45931</v>
      </c>
      <c r="E5" s="79"/>
      <c r="G5" s="76" t="n">
        <v>2</v>
      </c>
      <c r="H5" s="81" t="s">
        <v>109</v>
      </c>
      <c r="I5" s="82" t="n">
        <v>45931</v>
      </c>
      <c r="J5" s="80"/>
    </row>
    <row r="6" customFormat="false" ht="15.75" hidden="false" customHeight="true" outlineLevel="0" collapsed="false">
      <c r="B6" s="76"/>
      <c r="C6" s="76"/>
      <c r="D6" s="76"/>
      <c r="E6" s="76"/>
      <c r="G6" s="76"/>
      <c r="H6" s="76"/>
      <c r="I6" s="76"/>
      <c r="J6" s="80"/>
    </row>
    <row r="7" customFormat="false" ht="15.75" hidden="false" customHeight="true" outlineLevel="0" collapsed="false">
      <c r="B7" s="76" t="n">
        <v>3</v>
      </c>
      <c r="C7" s="81" t="s">
        <v>110</v>
      </c>
      <c r="D7" s="82" t="n">
        <v>45962</v>
      </c>
      <c r="E7" s="83" t="s">
        <v>111</v>
      </c>
      <c r="G7" s="76" t="n">
        <v>3</v>
      </c>
      <c r="H7" s="81" t="s">
        <v>112</v>
      </c>
      <c r="I7" s="82" t="n">
        <v>45962</v>
      </c>
      <c r="J7" s="80"/>
    </row>
    <row r="8" customFormat="false" ht="15.75" hidden="false" customHeight="true" outlineLevel="0" collapsed="false">
      <c r="B8" s="76"/>
      <c r="C8" s="76"/>
      <c r="D8" s="76"/>
      <c r="E8" s="76"/>
      <c r="G8" s="76"/>
      <c r="H8" s="76"/>
      <c r="I8" s="76"/>
      <c r="J8" s="76"/>
    </row>
    <row r="9" customFormat="false" ht="15.75" hidden="false" customHeight="true" outlineLevel="0" collapsed="false">
      <c r="B9" s="76"/>
      <c r="C9" s="76"/>
      <c r="D9" s="76"/>
      <c r="E9" s="76"/>
      <c r="G9" s="76"/>
      <c r="H9" s="76"/>
      <c r="I9" s="76"/>
      <c r="J9" s="80"/>
    </row>
    <row r="10" customFormat="false" ht="15.75" hidden="false" customHeight="true" outlineLevel="0" collapsed="false">
      <c r="B10" s="76" t="n">
        <v>4</v>
      </c>
      <c r="C10" s="81" t="s">
        <v>113</v>
      </c>
      <c r="D10" s="82" t="n">
        <v>45992</v>
      </c>
      <c r="E10" s="84" t="s">
        <v>114</v>
      </c>
      <c r="G10" s="76" t="n">
        <v>4</v>
      </c>
      <c r="H10" s="81" t="s">
        <v>113</v>
      </c>
      <c r="I10" s="82" t="n">
        <v>45992</v>
      </c>
      <c r="J10" s="80"/>
    </row>
    <row r="11" customFormat="false" ht="15.75" hidden="false" customHeight="true" outlineLevel="0" collapsed="false">
      <c r="B11" s="76"/>
      <c r="C11" s="76"/>
      <c r="D11" s="76"/>
      <c r="E11" s="76"/>
      <c r="G11" s="76"/>
      <c r="H11" s="76"/>
      <c r="I11" s="76"/>
      <c r="J11" s="76"/>
    </row>
    <row r="12" customFormat="false" ht="15.75" hidden="false" customHeight="true" outlineLevel="0" collapsed="false">
      <c r="B12" s="76"/>
      <c r="C12" s="76"/>
      <c r="D12" s="76"/>
      <c r="E12" s="84"/>
      <c r="G12" s="76"/>
      <c r="H12" s="76"/>
      <c r="I12" s="76"/>
      <c r="J12" s="80"/>
    </row>
    <row r="13" customFormat="false" ht="15.75" hidden="false" customHeight="true" outlineLevel="0" collapsed="false">
      <c r="B13" s="76" t="n">
        <v>5</v>
      </c>
      <c r="C13" s="81" t="s">
        <v>115</v>
      </c>
      <c r="D13" s="82" t="n">
        <v>46023</v>
      </c>
      <c r="E13" s="84"/>
      <c r="G13" s="76" t="n">
        <v>5</v>
      </c>
      <c r="H13" s="81" t="s">
        <v>116</v>
      </c>
      <c r="I13" s="82" t="n">
        <v>46023</v>
      </c>
      <c r="J13" s="80"/>
    </row>
    <row r="14" customFormat="false" ht="15.75" hidden="false" customHeight="true" outlineLevel="0" collapsed="false">
      <c r="B14" s="76"/>
      <c r="C14" s="76"/>
      <c r="D14" s="76"/>
      <c r="E14" s="84"/>
      <c r="G14" s="76"/>
      <c r="H14" s="76"/>
      <c r="I14" s="76"/>
      <c r="J14" s="80"/>
    </row>
    <row r="15" customFormat="false" ht="15.75" hidden="false" customHeight="true" outlineLevel="0" collapsed="false">
      <c r="B15" s="76" t="n">
        <v>6</v>
      </c>
      <c r="C15" s="81" t="s">
        <v>117</v>
      </c>
      <c r="D15" s="82" t="n">
        <v>46054</v>
      </c>
      <c r="E15" s="84"/>
      <c r="G15" s="76" t="n">
        <v>6</v>
      </c>
      <c r="H15" s="81" t="s">
        <v>116</v>
      </c>
      <c r="I15" s="82" t="n">
        <v>46054</v>
      </c>
      <c r="J15" s="80"/>
    </row>
    <row r="16" customFormat="false" ht="15.75" hidden="false" customHeight="true" outlineLevel="0" collapsed="false">
      <c r="B16" s="76"/>
      <c r="C16" s="76"/>
      <c r="D16" s="76"/>
      <c r="E16" s="84"/>
      <c r="G16" s="76"/>
      <c r="H16" s="76"/>
      <c r="I16" s="76"/>
      <c r="J16" s="80"/>
    </row>
    <row r="17" customFormat="false" ht="15" hidden="false" customHeight="true" outlineLevel="0" collapsed="false">
      <c r="B17" s="76" t="n">
        <v>7</v>
      </c>
      <c r="C17" s="77" t="s">
        <v>118</v>
      </c>
      <c r="D17" s="78" t="n">
        <v>46082</v>
      </c>
      <c r="E17" s="84"/>
      <c r="G17" s="76" t="n">
        <v>7</v>
      </c>
      <c r="H17" s="81" t="s">
        <v>119</v>
      </c>
      <c r="I17" s="78" t="n">
        <v>46082</v>
      </c>
      <c r="J17" s="80"/>
    </row>
    <row r="18" customFormat="false" ht="15.75" hidden="false" customHeight="true" outlineLevel="0" collapsed="false">
      <c r="B18" s="76" t="n">
        <v>8</v>
      </c>
      <c r="C18" s="81" t="s">
        <v>120</v>
      </c>
      <c r="D18" s="82" t="n">
        <v>46113</v>
      </c>
      <c r="E18" s="84"/>
      <c r="G18" s="76" t="n">
        <v>8</v>
      </c>
      <c r="H18" s="81" t="s">
        <v>121</v>
      </c>
      <c r="I18" s="82" t="n">
        <v>46113</v>
      </c>
      <c r="J18" s="80"/>
    </row>
    <row r="19" customFormat="false" ht="15.75" hidden="false" customHeight="true" outlineLevel="0" collapsed="false">
      <c r="B19" s="76"/>
      <c r="C19" s="76"/>
      <c r="D19" s="76"/>
      <c r="E19" s="76"/>
      <c r="G19" s="76"/>
      <c r="H19" s="76"/>
      <c r="I19" s="76"/>
      <c r="J19" s="76"/>
    </row>
    <row r="20" customFormat="false" ht="15.75" hidden="false" customHeight="true" outlineLevel="0" collapsed="false">
      <c r="B20" s="76"/>
      <c r="C20" s="76"/>
      <c r="D20" s="76"/>
      <c r="E20" s="84"/>
      <c r="G20" s="76" t="n">
        <v>9</v>
      </c>
      <c r="H20" s="81" t="s">
        <v>122</v>
      </c>
      <c r="I20" s="82" t="n">
        <v>46143</v>
      </c>
      <c r="J20" s="83" t="s">
        <v>111</v>
      </c>
    </row>
    <row r="21" customFormat="false" ht="15.75" hidden="false" customHeight="true" outlineLevel="0" collapsed="false">
      <c r="B21" s="76" t="n">
        <v>9</v>
      </c>
      <c r="C21" s="81" t="s">
        <v>123</v>
      </c>
      <c r="D21" s="82" t="n">
        <v>46143</v>
      </c>
      <c r="E21" s="84"/>
      <c r="G21" s="76"/>
      <c r="H21" s="76"/>
      <c r="I21" s="76"/>
      <c r="J21" s="76"/>
    </row>
    <row r="22" customFormat="false" ht="15.75" hidden="false" customHeight="true" outlineLevel="0" collapsed="false">
      <c r="B22" s="76"/>
      <c r="C22" s="76"/>
      <c r="D22" s="76"/>
      <c r="E22" s="84"/>
      <c r="G22" s="76"/>
      <c r="H22" s="76"/>
      <c r="I22" s="76"/>
      <c r="J22" s="76"/>
    </row>
    <row r="23" customFormat="false" ht="15.75" hidden="false" customHeight="true" outlineLevel="0" collapsed="false">
      <c r="B23" s="76" t="n">
        <v>10</v>
      </c>
      <c r="C23" s="77" t="s">
        <v>124</v>
      </c>
      <c r="D23" s="78" t="n">
        <v>46174</v>
      </c>
      <c r="E23" s="84"/>
      <c r="G23" s="76" t="n">
        <v>10</v>
      </c>
      <c r="H23" s="77" t="s">
        <v>125</v>
      </c>
      <c r="I23" s="78" t="n">
        <v>46174</v>
      </c>
      <c r="J23" s="85" t="s">
        <v>114</v>
      </c>
    </row>
    <row r="24" customFormat="false" ht="18.75" hidden="false" customHeight="true" outlineLevel="0" collapsed="false">
      <c r="E24" s="86" t="s">
        <v>126</v>
      </c>
      <c r="J24" s="86" t="s">
        <v>127</v>
      </c>
    </row>
    <row r="26" customFormat="false" ht="15" hidden="false" customHeight="false" outlineLevel="0" collapsed="false">
      <c r="B26" s="0" t="s">
        <v>128</v>
      </c>
    </row>
    <row r="27" customFormat="false" ht="15" hidden="false" customHeight="false" outlineLevel="0" collapsed="false">
      <c r="B27" s="0" t="s">
        <v>129</v>
      </c>
    </row>
  </sheetData>
  <mergeCells count="51">
    <mergeCell ref="B2:D2"/>
    <mergeCell ref="E2:E3"/>
    <mergeCell ref="G2:I2"/>
    <mergeCell ref="J2:J3"/>
    <mergeCell ref="E4:E6"/>
    <mergeCell ref="J4:J19"/>
    <mergeCell ref="B5:B6"/>
    <mergeCell ref="C5:C6"/>
    <mergeCell ref="D5:D6"/>
    <mergeCell ref="G5:G6"/>
    <mergeCell ref="H5:H6"/>
    <mergeCell ref="I5:I6"/>
    <mergeCell ref="B7:B9"/>
    <mergeCell ref="C7:C9"/>
    <mergeCell ref="D7:D9"/>
    <mergeCell ref="E7:E9"/>
    <mergeCell ref="G7:G9"/>
    <mergeCell ref="H7:H9"/>
    <mergeCell ref="I7:I9"/>
    <mergeCell ref="B10:B12"/>
    <mergeCell ref="C10:C12"/>
    <mergeCell ref="D10:D12"/>
    <mergeCell ref="E10:E23"/>
    <mergeCell ref="G10:G12"/>
    <mergeCell ref="H10:H12"/>
    <mergeCell ref="I10:I12"/>
    <mergeCell ref="B13:B14"/>
    <mergeCell ref="C13:C14"/>
    <mergeCell ref="D13:D14"/>
    <mergeCell ref="G13:G14"/>
    <mergeCell ref="H13:H14"/>
    <mergeCell ref="I13:I14"/>
    <mergeCell ref="B15:B16"/>
    <mergeCell ref="C15:C16"/>
    <mergeCell ref="D15:D16"/>
    <mergeCell ref="G15:G16"/>
    <mergeCell ref="H15:H16"/>
    <mergeCell ref="I15:I16"/>
    <mergeCell ref="B18:B20"/>
    <mergeCell ref="C18:C20"/>
    <mergeCell ref="D18:D20"/>
    <mergeCell ref="G18:G19"/>
    <mergeCell ref="H18:H19"/>
    <mergeCell ref="I18:I19"/>
    <mergeCell ref="G20:G22"/>
    <mergeCell ref="H20:H22"/>
    <mergeCell ref="I20:I22"/>
    <mergeCell ref="J20:J22"/>
    <mergeCell ref="B21:B22"/>
    <mergeCell ref="C21:C22"/>
    <mergeCell ref="D21:D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2026-05-26T16:53:41Z</dcterms:created>
  <dc:creator>Tiago Miguel Ramos Brito</dc:creator>
  <dc:description/>
  <dc:language>en-US</dc:language>
  <cp:lastModifiedBy>Tiago Miguel Ramos Brito</cp:lastModifiedBy>
  <dcterms:modified xsi:type="dcterms:W3CDTF">2026-07-23T00:06:28Z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